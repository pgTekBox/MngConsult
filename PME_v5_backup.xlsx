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ierre\Desktop\"/>
    </mc:Choice>
  </mc:AlternateContent>
  <xr:revisionPtr revIDLastSave="0" documentId="13_ncr:1_{8FF87657-DD5B-4F95-BD74-04FFDE2E7249}" xr6:coauthVersionLast="47" xr6:coauthVersionMax="47" xr10:uidLastSave="{00000000-0000-0000-0000-000000000000}"/>
  <bookViews>
    <workbookView xWindow="-75" yWindow="-16320" windowWidth="29040" windowHeight="15720" tabRatio="500" activeTab="2" xr2:uid="{00000000-000D-0000-FFFF-FFFF00000000}"/>
  </bookViews>
  <sheets>
    <sheet name="Comparaison versions" sheetId="1" r:id="rId1"/>
    <sheet name="Solo TA" sheetId="2" r:id="rId2"/>
    <sheet name="Compagnie" sheetId="3" r:id="rId3"/>
    <sheet name="Modules" sheetId="4" r:id="rId4"/>
    <sheet name="1.Identite" sheetId="5" r:id="rId5"/>
    <sheet name="2.Encaissement" sheetId="6" r:id="rId6"/>
    <sheet name="3.Paiement_OUT" sheetId="7" r:id="rId7"/>
    <sheet name="4.Workflow_B2B" sheetId="8" r:id="rId8"/>
    <sheet name="5.Tarification" sheetId="9" r:id="rId9"/>
    <sheet name="6.Cas_Usage" sheetId="10" r:id="rId10"/>
    <sheet name="Mes notes Flinks" sheetId="11" r:id="rId11"/>
    <sheet name="Mes notes Stripe" sheetId="12" r:id="rId12"/>
  </sheets>
  <definedNames>
    <definedName name="_xlnm._FilterDatabase" localSheetId="2" hidden="1">Compagnie!$B$6:$G$38</definedName>
    <definedName name="_xlnm._FilterDatabase" localSheetId="3" hidden="1">Modules!$B$4:$I$36</definedName>
    <definedName name="_xlnm._FilterDatabase" localSheetId="1" hidden="1">'Solo TA'!$B$6:$H$31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E38" i="3" l="1"/>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31" i="2"/>
  <c r="E30" i="2"/>
  <c r="E29" i="2"/>
  <c r="E28" i="2"/>
  <c r="E27" i="2"/>
  <c r="E26" i="2"/>
  <c r="E25" i="2"/>
  <c r="E24" i="2"/>
  <c r="E23" i="2"/>
  <c r="E22" i="2"/>
  <c r="E21" i="2"/>
  <c r="E20" i="2"/>
  <c r="E19" i="2"/>
  <c r="E18" i="2"/>
  <c r="E17" i="2"/>
  <c r="E16" i="2"/>
  <c r="E15" i="2"/>
  <c r="E14" i="2"/>
  <c r="E13" i="2"/>
  <c r="E12" i="2"/>
  <c r="E11" i="2"/>
  <c r="E10" i="2"/>
  <c r="E9" i="2"/>
  <c r="E8" i="2"/>
  <c r="E7" i="2"/>
  <c r="H32" i="2"/>
  <c r="J37" i="4"/>
  <c r="I37" i="4"/>
  <c r="H37" i="4"/>
  <c r="G37" i="4"/>
  <c r="D37" i="4"/>
  <c r="J36" i="4"/>
  <c r="F36" i="4"/>
  <c r="F38" i="3" s="1"/>
  <c r="J35" i="4"/>
  <c r="F35" i="4"/>
  <c r="J34" i="4"/>
  <c r="F34" i="4"/>
  <c r="F36" i="3" s="1"/>
  <c r="J33" i="4"/>
  <c r="F33" i="4"/>
  <c r="F35" i="3" s="1"/>
  <c r="J32" i="4"/>
  <c r="F32" i="4"/>
  <c r="F34" i="3" s="1"/>
  <c r="J31" i="4"/>
  <c r="F31" i="4"/>
  <c r="J30" i="4"/>
  <c r="F30" i="4"/>
  <c r="J29" i="4"/>
  <c r="F29" i="4"/>
  <c r="G24" i="2" s="1"/>
  <c r="J28" i="4"/>
  <c r="F28" i="4"/>
  <c r="F30" i="3" s="1"/>
  <c r="J27" i="4"/>
  <c r="F27" i="4"/>
  <c r="F29" i="3" s="1"/>
  <c r="J26" i="4"/>
  <c r="F26" i="4"/>
  <c r="F28" i="3" s="1"/>
  <c r="J25" i="4"/>
  <c r="F25" i="4"/>
  <c r="F27" i="3" s="1"/>
  <c r="J24" i="4"/>
  <c r="F24" i="4"/>
  <c r="F26" i="3" s="1"/>
  <c r="J23" i="4"/>
  <c r="F23" i="4"/>
  <c r="F25" i="3" s="1"/>
  <c r="J22" i="4"/>
  <c r="F22" i="4"/>
  <c r="F24" i="3" s="1"/>
  <c r="J21" i="4"/>
  <c r="F21" i="4"/>
  <c r="F23" i="3" s="1"/>
  <c r="J20" i="4"/>
  <c r="F20" i="4"/>
  <c r="J19" i="4"/>
  <c r="F19" i="4"/>
  <c r="G19" i="2" s="1"/>
  <c r="J18" i="4"/>
  <c r="F18" i="4"/>
  <c r="G20" i="3" s="1"/>
  <c r="J17" i="4"/>
  <c r="F17" i="4"/>
  <c r="G19" i="3" s="1"/>
  <c r="J16" i="4"/>
  <c r="F16" i="4"/>
  <c r="J15" i="4"/>
  <c r="F15" i="4"/>
  <c r="G17" i="3" s="1"/>
  <c r="J14" i="4"/>
  <c r="F14" i="4"/>
  <c r="G16" i="3" s="1"/>
  <c r="J13" i="4"/>
  <c r="F13" i="4"/>
  <c r="G15" i="3" s="1"/>
  <c r="J12" i="4"/>
  <c r="F12" i="4"/>
  <c r="G14" i="3" s="1"/>
  <c r="J11" i="4"/>
  <c r="F11" i="4"/>
  <c r="G13" i="2" s="1"/>
  <c r="J10" i="4"/>
  <c r="F10" i="4"/>
  <c r="G12" i="3" s="1"/>
  <c r="J9" i="4"/>
  <c r="F9" i="4"/>
  <c r="G11" i="2" s="1"/>
  <c r="J8" i="4"/>
  <c r="F8" i="4"/>
  <c r="J7" i="4"/>
  <c r="F7" i="4"/>
  <c r="G9" i="2" s="1"/>
  <c r="J6" i="4"/>
  <c r="F6" i="4"/>
  <c r="G8" i="3" s="1"/>
  <c r="J5" i="4"/>
  <c r="F5" i="4"/>
  <c r="G7" i="2" s="1"/>
  <c r="H39" i="3"/>
  <c r="G38" i="3"/>
  <c r="D38" i="3"/>
  <c r="H38" i="3" s="1"/>
  <c r="G37" i="3"/>
  <c r="D37" i="3"/>
  <c r="H37" i="3" s="1"/>
  <c r="G36" i="3"/>
  <c r="D36" i="3"/>
  <c r="H36" i="3" s="1"/>
  <c r="G35" i="3"/>
  <c r="D35" i="3"/>
  <c r="H35" i="3" s="1"/>
  <c r="G34" i="3"/>
  <c r="D34" i="3"/>
  <c r="H34" i="3" s="1"/>
  <c r="G33" i="3"/>
  <c r="D33" i="3"/>
  <c r="H33" i="3" s="1"/>
  <c r="G32" i="3"/>
  <c r="D32" i="3"/>
  <c r="H32" i="3" s="1"/>
  <c r="G31" i="3"/>
  <c r="D31" i="3"/>
  <c r="H31" i="3" s="1"/>
  <c r="G30" i="3"/>
  <c r="D30" i="3"/>
  <c r="H30" i="3" s="1"/>
  <c r="G29" i="3"/>
  <c r="D29" i="3"/>
  <c r="H29" i="3" s="1"/>
  <c r="G28" i="3"/>
  <c r="D28" i="3"/>
  <c r="H28" i="3" s="1"/>
  <c r="G27" i="3"/>
  <c r="D27" i="3"/>
  <c r="H27" i="3" s="1"/>
  <c r="G26" i="3"/>
  <c r="D26" i="3"/>
  <c r="H26" i="3" s="1"/>
  <c r="G25" i="3"/>
  <c r="D25" i="3"/>
  <c r="H25" i="3" s="1"/>
  <c r="G24" i="3"/>
  <c r="D24" i="3"/>
  <c r="H24" i="3" s="1"/>
  <c r="G23" i="3"/>
  <c r="D23" i="3"/>
  <c r="H23" i="3" s="1"/>
  <c r="G22" i="3"/>
  <c r="D22" i="3"/>
  <c r="H22" i="3" s="1"/>
  <c r="G21" i="3"/>
  <c r="F21" i="3"/>
  <c r="D21" i="3"/>
  <c r="H21" i="3" s="1"/>
  <c r="F20" i="3"/>
  <c r="D20" i="3"/>
  <c r="H20" i="3" s="1"/>
  <c r="F19" i="3"/>
  <c r="D19" i="3"/>
  <c r="H19" i="3" s="1"/>
  <c r="G18" i="3"/>
  <c r="F18" i="3"/>
  <c r="D18" i="3"/>
  <c r="H18" i="3" s="1"/>
  <c r="F17" i="3"/>
  <c r="D17" i="3"/>
  <c r="H17" i="3" s="1"/>
  <c r="F16" i="3"/>
  <c r="D16" i="3"/>
  <c r="H16" i="3" s="1"/>
  <c r="F15" i="3"/>
  <c r="D15" i="3"/>
  <c r="H15" i="3" s="1"/>
  <c r="F14" i="3"/>
  <c r="D14" i="3"/>
  <c r="H14" i="3" s="1"/>
  <c r="G13" i="3"/>
  <c r="F13" i="3"/>
  <c r="D13" i="3"/>
  <c r="H13" i="3" s="1"/>
  <c r="F12" i="3"/>
  <c r="D12" i="3"/>
  <c r="H12" i="3" s="1"/>
  <c r="F11" i="3"/>
  <c r="D11" i="3"/>
  <c r="H11" i="3" s="1"/>
  <c r="G10" i="3"/>
  <c r="F10" i="3"/>
  <c r="D10" i="3"/>
  <c r="H10" i="3" s="1"/>
  <c r="F9" i="3"/>
  <c r="D9" i="3"/>
  <c r="H9" i="3" s="1"/>
  <c r="F8" i="3"/>
  <c r="D8" i="3"/>
  <c r="H8" i="3" s="1"/>
  <c r="F7" i="3"/>
  <c r="D7" i="3"/>
  <c r="H7" i="3" s="1"/>
  <c r="H19" i="1"/>
  <c r="D19" i="1"/>
  <c r="H18" i="1"/>
  <c r="D18" i="1"/>
  <c r="H17" i="1"/>
  <c r="D17" i="1"/>
  <c r="G13" i="1"/>
  <c r="F13" i="1"/>
  <c r="C13" i="1"/>
  <c r="B13" i="1"/>
  <c r="F9" i="1"/>
  <c r="B9" i="1"/>
  <c r="G31" i="2"/>
  <c r="F31" i="2"/>
  <c r="D31" i="2"/>
  <c r="H31" i="2" s="1"/>
  <c r="G30" i="2"/>
  <c r="D30" i="2"/>
  <c r="H30" i="2" s="1"/>
  <c r="G29" i="2"/>
  <c r="F29" i="2"/>
  <c r="D29" i="2"/>
  <c r="H29" i="2" s="1"/>
  <c r="F28" i="2"/>
  <c r="D28" i="2"/>
  <c r="H28" i="2" s="1"/>
  <c r="G27" i="2"/>
  <c r="F27" i="2"/>
  <c r="D27" i="2"/>
  <c r="H27" i="2" s="1"/>
  <c r="G26" i="2"/>
  <c r="D26" i="2"/>
  <c r="H26" i="2" s="1"/>
  <c r="G25" i="2"/>
  <c r="D25" i="2"/>
  <c r="H25" i="2" s="1"/>
  <c r="D24" i="2"/>
  <c r="H24" i="2" s="1"/>
  <c r="G23" i="2"/>
  <c r="F23" i="2"/>
  <c r="D23" i="2"/>
  <c r="H23" i="2" s="1"/>
  <c r="G22" i="2"/>
  <c r="F22" i="2"/>
  <c r="D22" i="2"/>
  <c r="H22" i="2" s="1"/>
  <c r="G21" i="2"/>
  <c r="F21" i="2"/>
  <c r="D21" i="2"/>
  <c r="H21" i="2" s="1"/>
  <c r="F20" i="2"/>
  <c r="D20" i="2"/>
  <c r="H20" i="2" s="1"/>
  <c r="F19" i="2"/>
  <c r="D19" i="2"/>
  <c r="H19" i="2" s="1"/>
  <c r="G18" i="2"/>
  <c r="F18" i="2"/>
  <c r="D18" i="2"/>
  <c r="H18" i="2" s="1"/>
  <c r="F17" i="2"/>
  <c r="D17" i="2"/>
  <c r="H17" i="2" s="1"/>
  <c r="G16" i="2"/>
  <c r="F16" i="2"/>
  <c r="D16" i="2"/>
  <c r="H16" i="2" s="1"/>
  <c r="F15" i="2"/>
  <c r="D15" i="2"/>
  <c r="H15" i="2" s="1"/>
  <c r="G14" i="2"/>
  <c r="F14" i="2"/>
  <c r="D14" i="2"/>
  <c r="H14" i="2" s="1"/>
  <c r="F13" i="2"/>
  <c r="D13" i="2"/>
  <c r="H13" i="2" s="1"/>
  <c r="G12" i="2"/>
  <c r="F12" i="2"/>
  <c r="D12" i="2"/>
  <c r="H12" i="2" s="1"/>
  <c r="F11" i="2"/>
  <c r="D11" i="2"/>
  <c r="H11" i="2" s="1"/>
  <c r="G10" i="2"/>
  <c r="F10" i="2"/>
  <c r="D10" i="2"/>
  <c r="H10" i="2" s="1"/>
  <c r="F9" i="2"/>
  <c r="D9" i="2"/>
  <c r="H9" i="2" s="1"/>
  <c r="G8" i="2"/>
  <c r="F8" i="2"/>
  <c r="D8" i="2"/>
  <c r="H8" i="2" s="1"/>
  <c r="F7" i="2"/>
  <c r="D7" i="2"/>
  <c r="G15" i="2" l="1"/>
  <c r="G7" i="3"/>
  <c r="G28" i="2"/>
  <c r="G11" i="3"/>
  <c r="G20" i="2"/>
  <c r="G17" i="2"/>
  <c r="G9" i="3"/>
  <c r="D13" i="1"/>
  <c r="D32" i="2"/>
  <c r="F37" i="3"/>
  <c r="F30" i="2"/>
  <c r="F31" i="3"/>
  <c r="F24" i="2"/>
  <c r="D39" i="3"/>
  <c r="F26" i="2"/>
  <c r="F33" i="3"/>
  <c r="F25" i="2"/>
  <c r="F32" i="3"/>
  <c r="F37" i="4"/>
  <c r="H13" i="1"/>
  <c r="F22" i="3"/>
  <c r="H7" i="2"/>
  <c r="G39" i="3" l="1"/>
  <c r="G32" i="2"/>
  <c r="F39" i="3"/>
  <c r="F32" i="2"/>
</calcChain>
</file>

<file path=xl/sharedStrings.xml><?xml version="1.0" encoding="utf-8"?>
<sst xmlns="http://schemas.openxmlformats.org/spreadsheetml/2006/main" count="943" uniqueCount="321">
  <si>
    <t>PROJET LOGICIEL PME — COMPARAISON</t>
  </si>
  <si>
    <t>Solo TA  vs  Compagnie Solo</t>
  </si>
  <si>
    <t>État d'avancement de chaque version du logiciel</t>
  </si>
  <si>
    <t>▌  VERSION TRAVAILLEUR AUTONOME</t>
  </si>
  <si>
    <t>▌  VERSION COMPAGNIE SOLO</t>
  </si>
  <si>
    <t>Avancement moyen</t>
  </si>
  <si>
    <t>Modules</t>
  </si>
  <si>
    <t>Complétés</t>
  </si>
  <si>
    <t>Effort</t>
  </si>
  <si>
    <t>Répartition par état</t>
  </si>
  <si>
    <t>En cours</t>
  </si>
  <si>
    <t>Non commencés</t>
  </si>
  <si>
    <t>💡 La version Solo TA est plus avancée car elle exclut les modules les plus lourds (paie, DAS, rapprochement bancaire, amortissement).</t>
  </si>
  <si>
    <t>📋 Consultez les onglets « Solo TA », « Compagnie » et « Modules » pour le détail.</t>
  </si>
  <si>
    <t>VERSION TRAVAILLEUR AUTONOME</t>
  </si>
  <si>
    <t>Solo TA — Modules inclus</t>
  </si>
  <si>
    <t>Liste filtrée des modules de la version solo</t>
  </si>
  <si>
    <t>#</t>
  </si>
  <si>
    <t>Module</t>
  </si>
  <si>
    <t>Avancement</t>
  </si>
  <si>
    <t>Effort initial</t>
  </si>
  <si>
    <t>Statut</t>
  </si>
  <si>
    <t>Gestion des clients (CRUD)</t>
  </si>
  <si>
    <t>Facturation client</t>
  </si>
  <si>
    <t>Gestion des fournisseurs</t>
  </si>
  <si>
    <t>Facturation fournisseur</t>
  </si>
  <si>
    <t>Plan comptable</t>
  </si>
  <si>
    <t>Moteur de comptabilité</t>
  </si>
  <si>
    <t>Balance de vérification</t>
  </si>
  <si>
    <t>État des résultats</t>
  </si>
  <si>
    <t>Bilan</t>
  </si>
  <si>
    <t>État des flux de trésorerie</t>
  </si>
  <si>
    <t>État des bénéfices non répartis</t>
  </si>
  <si>
    <t>Gestion des produits</t>
  </si>
  <si>
    <t>Catégories de produits</t>
  </si>
  <si>
    <t>Remise de taxes</t>
  </si>
  <si>
    <t>Module d'ouverture et de fermeture d'année</t>
  </si>
  <si>
    <t>Module d'écritures comptables</t>
  </si>
  <si>
    <t>Module des encaissements client</t>
  </si>
  <si>
    <t>Moteur d'orchestration</t>
  </si>
  <si>
    <t>Moteur de paiement</t>
  </si>
  <si>
    <t>Connexion multi-compagnies</t>
  </si>
  <si>
    <t>Module de décaissement fournisseur</t>
  </si>
  <si>
    <t>Module des paramètres</t>
  </si>
  <si>
    <t>Initialisation</t>
  </si>
  <si>
    <t>Agenda</t>
  </si>
  <si>
    <t>Point de vente (POS)</t>
  </si>
  <si>
    <t>TOTAL Solo TA</t>
  </si>
  <si>
    <t>VERSION COMPAGNIE SOLO</t>
  </si>
  <si>
    <t>Compagnie Solo — Modules inclus</t>
  </si>
  <si>
    <t>Liste complète des modules de la version compagnie</t>
  </si>
  <si>
    <t>Comptes bancaires</t>
  </si>
  <si>
    <t>Relevés bancaires</t>
  </si>
  <si>
    <t>Gestion des employés</t>
  </si>
  <si>
    <t>Calcul de la paie</t>
  </si>
  <si>
    <t>Remise des DAS</t>
  </si>
  <si>
    <t>Module d'amortissement</t>
  </si>
  <si>
    <t>Module de rapprochement bancaire</t>
  </si>
  <si>
    <t>TOTAL Compagnie</t>
  </si>
  <si>
    <t>DONNÉES SOURCES</t>
  </si>
  <si>
    <t>Tous les modules — Vue complète</t>
  </si>
  <si>
    <t>Inclut les indicateurs de présence dans chaque version</t>
  </si>
  <si>
    <t>Solo TA</t>
  </si>
  <si>
    <t>Compagnie</t>
  </si>
  <si>
    <t>✓ Oui</t>
  </si>
  <si>
    <t>—</t>
  </si>
  <si>
    <t>TOTAL</t>
  </si>
  <si>
    <t>Onglet 1 : Identite</t>
  </si>
  <si>
    <t>Service</t>
  </si>
  <si>
    <t>Origine</t>
  </si>
  <si>
    <t>Annee</t>
  </si>
  <si>
    <t>Marche cible</t>
  </si>
  <si>
    <t>Doc publique</t>
  </si>
  <si>
    <t>Sandbox self-serve</t>
  </si>
  <si>
    <t>Activation prod</t>
  </si>
  <si>
    <t>Stripe</t>
  </si>
  <si>
    <t>US -&gt; global</t>
  </si>
  <si>
    <t>Tout, B2B et B2C</t>
  </si>
  <si>
    <t>docs.stripe.com</t>
  </si>
  <si>
    <t>OUI</t>
  </si>
  <si>
    <t>Self-serve 1-3 jours</t>
  </si>
  <si>
    <t>Helcim</t>
  </si>
  <si>
    <t>CA Calgary</t>
  </si>
  <si>
    <t>PME canadiennes</t>
  </si>
  <si>
    <t>devdocs.helcim.com</t>
  </si>
  <si>
    <t>Square</t>
  </si>
  <si>
    <t>US -&gt; CA</t>
  </si>
  <si>
    <t>Commerce detail</t>
  </si>
  <si>
    <t>developer.squareup.com</t>
  </si>
  <si>
    <t>Self-serve 1-2 jours</t>
  </si>
  <si>
    <t>PayPal / Braintree</t>
  </si>
  <si>
    <t>US global</t>
  </si>
  <si>
    <t>Tout</t>
  </si>
  <si>
    <t>developer.paypal.com</t>
  </si>
  <si>
    <t>Self-serve immediat</t>
  </si>
  <si>
    <t>Moneris</t>
  </si>
  <si>
    <t>CA Toronto</t>
  </si>
  <si>
    <t>Gros marchand CA</t>
  </si>
  <si>
    <t>Partielle</t>
  </si>
  <si>
    <t>NON</t>
  </si>
  <si>
    <t>Contrat commercial</t>
  </si>
  <si>
    <t>Nuvei</t>
  </si>
  <si>
    <t>CA Montreal</t>
  </si>
  <si>
    <t>Enterprise</t>
  </si>
  <si>
    <t>docs.nuvei.com</t>
  </si>
  <si>
    <t>A verif</t>
  </si>
  <si>
    <t>Adyen</t>
  </si>
  <si>
    <t>NL global</t>
  </si>
  <si>
    <t>Plooto</t>
  </si>
  <si>
    <t>PME + comptables CA</t>
  </si>
  <si>
    <t>Partner</t>
  </si>
  <si>
    <t>Partner 2-4 sem</t>
  </si>
  <si>
    <t>VoPay</t>
  </si>
  <si>
    <t>CA Vancouver</t>
  </si>
  <si>
    <t>Devs / fintechs CA</t>
  </si>
  <si>
    <t>docs.vopay.com</t>
  </si>
  <si>
    <t>Sandbox immediat, prod 1 sem</t>
  </si>
  <si>
    <t>Wise Business</t>
  </si>
  <si>
    <t>UK -&gt; global</t>
  </si>
  <si>
    <t>International FX</t>
  </si>
  <si>
    <t>docs.wise.com</t>
  </si>
  <si>
    <t>Self-serve</t>
  </si>
  <si>
    <t>Modern Treasury</t>
  </si>
  <si>
    <t>Bank ops, devs</t>
  </si>
  <si>
    <t>docs.moderntreasury.com</t>
  </si>
  <si>
    <t>Tipalti</t>
  </si>
  <si>
    <t>US / IL</t>
  </si>
  <si>
    <t>Mass payouts</t>
  </si>
  <si>
    <t>developer.tipalti.com</t>
  </si>
  <si>
    <t>Contrat</t>
  </si>
  <si>
    <t>Trolley</t>
  </si>
  <si>
    <t>Mass payouts global</t>
  </si>
  <si>
    <t>developers.trolley.com</t>
  </si>
  <si>
    <t>Self-serve probable</t>
  </si>
  <si>
    <t>Hyperwallet</t>
  </si>
  <si>
    <t>docs.hyperwallet.com</t>
  </si>
  <si>
    <t>Partenariat</t>
  </si>
  <si>
    <t>Rotessa</t>
  </si>
  <si>
    <t>CA Winnipeg</t>
  </si>
  <si>
    <t>PAD seulement</t>
  </si>
  <si>
    <t>rotessa.com</t>
  </si>
  <si>
    <t>Caju Money</t>
  </si>
  <si>
    <t>2020+</t>
  </si>
  <si>
    <t>Versapay</t>
  </si>
  <si>
    <t>AR collaboration</t>
  </si>
  <si>
    <t>Bill.com</t>
  </si>
  <si>
    <t>US California</t>
  </si>
  <si>
    <t>PME US</t>
  </si>
  <si>
    <t>developer.bill.com</t>
  </si>
  <si>
    <t>Routable</t>
  </si>
  <si>
    <t>Bill pay PME</t>
  </si>
  <si>
    <t>docs.routable.com</t>
  </si>
  <si>
    <t>Melio</t>
  </si>
  <si>
    <t>Bill pay PME US</t>
  </si>
  <si>
    <t>Plaid</t>
  </si>
  <si>
    <t>Bank linking</t>
  </si>
  <si>
    <t>plaid.com/docs</t>
  </si>
  <si>
    <t>Flinks</t>
  </si>
  <si>
    <t>Bank linking CA</t>
  </si>
  <si>
    <t>docs.flinks.com</t>
  </si>
  <si>
    <t>MX</t>
  </si>
  <si>
    <t>US</t>
  </si>
  <si>
    <t>docs.mx.com</t>
  </si>
  <si>
    <t>Currencycloud (Visa)</t>
  </si>
  <si>
    <t>FX B2B API</t>
  </si>
  <si>
    <t>currencycloud.com/developers</t>
  </si>
  <si>
    <t>OFX Business</t>
  </si>
  <si>
    <t>AU -&gt; global</t>
  </si>
  <si>
    <t>FX</t>
  </si>
  <si>
    <t>Convera</t>
  </si>
  <si>
    <t>FX corporate</t>
  </si>
  <si>
    <t>Cartes credit</t>
  </si>
  <si>
    <t>Cartes debit</t>
  </si>
  <si>
    <t>Apple/Google Pay</t>
  </si>
  <si>
    <t>ACSS Debit (PAD)</t>
  </si>
  <si>
    <t>Interac Online</t>
  </si>
  <si>
    <t>EFT pull (B2B)</t>
  </si>
  <si>
    <t>Bank Pay</t>
  </si>
  <si>
    <t>Crypto</t>
  </si>
  <si>
    <t>Partiel</t>
  </si>
  <si>
    <t>PayPal</t>
  </si>
  <si>
    <t>Bambora</t>
  </si>
  <si>
    <t>Clover</t>
  </si>
  <si>
    <t>Lightspeed Payments</t>
  </si>
  <si>
    <t>Onglet 3 : Paiement_OUT</t>
  </si>
  <si>
    <t>EFT CAD</t>
  </si>
  <si>
    <t>Interac SEND</t>
  </si>
  <si>
    <t>Interac Request</t>
  </si>
  <si>
    <t>Cheque imprime</t>
  </si>
  <si>
    <t>Wire international</t>
  </si>
  <si>
    <t>Mass batch</t>
  </si>
  <si>
    <t>Carte virtuelle</t>
  </si>
  <si>
    <t>OUI 40+</t>
  </si>
  <si>
    <t>Via ACH</t>
  </si>
  <si>
    <t>Via partenaire</t>
  </si>
  <si>
    <t>OUI 196 pays</t>
  </si>
  <si>
    <t>OUI US</t>
  </si>
  <si>
    <t>OUI 210 pays</t>
  </si>
  <si>
    <t>OUI reference</t>
  </si>
  <si>
    <t>Stripe Connect</t>
  </si>
  <si>
    <t>OUI Stripe-&gt;Stripe</t>
  </si>
  <si>
    <t>Via Atlas</t>
  </si>
  <si>
    <t>PayPal Payouts</t>
  </si>
  <si>
    <t>Via Hyperwallet</t>
  </si>
  <si>
    <t>OUI via PayPal</t>
  </si>
  <si>
    <t>Currencycloud</t>
  </si>
  <si>
    <t>OUI FX</t>
  </si>
  <si>
    <t>US-centric</t>
  </si>
  <si>
    <t>OUI pull</t>
  </si>
  <si>
    <t>Onglet 4 : Workflow_B2B</t>
  </si>
  <si>
    <t>Multi-approbation</t>
  </si>
  <si>
    <t>Multi-compagnie</t>
  </si>
  <si>
    <t>OCR factures</t>
  </si>
  <si>
    <t>Tax remittance CRA/RQ</t>
  </si>
  <si>
    <t>Sync QBO/Xero</t>
  </si>
  <si>
    <t>Webhook signes</t>
  </si>
  <si>
    <t>Audit trail</t>
  </si>
  <si>
    <t>OUI 4 niveaux</t>
  </si>
  <si>
    <t>OUI profond</t>
  </si>
  <si>
    <t>OUI HMAC</t>
  </si>
  <si>
    <t>OUI PDF signe</t>
  </si>
  <si>
    <t>NON (vous codez)</t>
  </si>
  <si>
    <t>NON (US)</t>
  </si>
  <si>
    <t>OUI Connect</t>
  </si>
  <si>
    <t>Via apps</t>
  </si>
  <si>
    <t>OUI basique</t>
  </si>
  <si>
    <t>Onglet 5 : Tarification</t>
  </si>
  <si>
    <t>Abonnement</t>
  </si>
  <si>
    <t>Carte credit</t>
  </si>
  <si>
    <t>Interac Send</t>
  </si>
  <si>
    <t>EFT</t>
  </si>
  <si>
    <t>Wire intl</t>
  </si>
  <si>
    <t>Cheque</t>
  </si>
  <si>
    <t>Setup</t>
  </si>
  <si>
    <t>0 $</t>
  </si>
  <si>
    <t>2,9 % + 0,30 $</t>
  </si>
  <si>
    <t>-</t>
  </si>
  <si>
    <t>1,5 % (max 25$) ACSS</t>
  </si>
  <si>
    <t>1,99 % + 0,08 $</t>
  </si>
  <si>
    <t>1 $</t>
  </si>
  <si>
    <t>2,65 % + 0,10 $</t>
  </si>
  <si>
    <t>4,4 % + frais</t>
  </si>
  <si>
    <t>~25 $/mois</t>
  </si>
  <si>
    <t>negocie ~2,5 %</t>
  </si>
  <si>
    <t>Variable</t>
  </si>
  <si>
    <t>32-49 $</t>
  </si>
  <si>
    <t>2,9-3,4 %</t>
  </si>
  <si>
    <t>0,50 $</t>
  </si>
  <si>
    <t>9,99 $ + 1,5 %</t>
  </si>
  <si>
    <t>9,99 $</t>
  </si>
  <si>
    <t>Tier min ~500 $</t>
  </si>
  <si>
    <t>0,50-1 $</t>
  </si>
  <si>
    <t>0,25 $</t>
  </si>
  <si>
    <t>Inclus FX</t>
  </si>
  <si>
    <t>Taux IB + 1 %</t>
  </si>
  <si>
    <t>50 $</t>
  </si>
  <si>
    <t>Negocie</t>
  </si>
  <si>
    <t>Contractuel</t>
  </si>
  <si>
    <t>149-449 $/mois</t>
  </si>
  <si>
    <t>0,30 $</t>
  </si>
  <si>
    <t>2,50 $/wire</t>
  </si>
  <si>
    <t>3 $</t>
  </si>
  <si>
    <t>49 $/mois</t>
  </si>
  <si>
    <t>12 $/mois</t>
  </si>
  <si>
    <t>Freemium</t>
  </si>
  <si>
    <t>Onglet 6 : Cas_usage</t>
  </si>
  <si>
    <t>Ideal pour</t>
  </si>
  <si>
    <t>A eviter si</t>
  </si>
  <si>
    <t>Encaissement en ligne, cartes + PAD, abonnements recurrents</t>
  </si>
  <si>
    <t>Vous voulez payer fournisseurs Interac</t>
  </si>
  <si>
    <t>PME canadienne sensible aux frais, POS</t>
  </si>
  <si>
    <t>Marketplace ou gros volume international</t>
  </si>
  <si>
    <t>Commerce detail, POS, restos petits</t>
  </si>
  <si>
    <t>B2B pur, comptabilite avancee</t>
  </si>
  <si>
    <t>Add-on pour clients qui ont deja PayPal</t>
  </si>
  <si>
    <t>Service primaire B2B Quebec</t>
  </si>
  <si>
    <t>Marchand gros volume avec contrat</t>
  </si>
  <si>
    <t>PME small/medium, integration rapide</t>
  </si>
  <si>
    <t>Marketplace, gaming, gros volume</t>
  </si>
  <si>
    <t>PME standard, time-to-market court</t>
  </si>
  <si>
    <t>App comptable QC avec workflow approbation</t>
  </si>
  <si>
    <t>Time-to-market urgent, gros volume</t>
  </si>
  <si>
    <t>Fintech qui veut tout faire en API self-serve</t>
  </si>
  <si>
    <t>Vous voulez workflow approbation built-in</t>
  </si>
  <si>
    <t>Paiements internationaux multi-devises</t>
  </si>
  <si>
    <t>Vous restez 100 % CAD domestique</t>
  </si>
  <si>
    <t>Tech-savvy, bank ops avance, EFT CAD</t>
  </si>
  <si>
    <t>Vous voulez Interac OUT</t>
  </si>
  <si>
    <t>Marketplace ou agence avec 200+ contractuels</t>
  </si>
  <si>
    <t>Petit volume (&lt;50 tx/mois)</t>
  </si>
  <si>
    <t>Mass payouts global incluant CAD</t>
  </si>
  <si>
    <t>Vous ne payez pas mass</t>
  </si>
  <si>
    <t>Marketplace avec besoin payouts CA + global</t>
  </si>
  <si>
    <t>Petit volume</t>
  </si>
  <si>
    <t>PAD canadien simple (prelevement client)</t>
  </si>
  <si>
    <t>Vous voulez aussi push</t>
  </si>
  <si>
    <t>PME US (pas CA pour outbound)</t>
  </si>
  <si>
    <t>Marche canadien</t>
  </si>
  <si>
    <t>Bill pay US AP automation</t>
  </si>
  <si>
    <t>Outbound CAD</t>
  </si>
  <si>
    <t>Lecture bancaire generale</t>
  </si>
  <si>
    <t>Lecture bancaire avec Desjardins</t>
  </si>
  <si>
    <t>AR collaborative (relances clients)</t>
  </si>
  <si>
    <t>AP outbound</t>
  </si>
  <si>
    <t>FX programmatique grosse volume</t>
  </si>
  <si>
    <t>Domestique CAD</t>
  </si>
  <si>
    <t>Produit</t>
  </si>
  <si>
    <t>Fonctions incluses</t>
  </si>
  <si>
    <t>Flinks Connect</t>
  </si>
  <si>
    <t>Widget connexion, multi-institutions, token mgmt, révocation</t>
  </si>
  <si>
    <t>Flinks Capital</t>
  </si>
  <si>
    <t>Comptes, soldes, transactions, identité, catégorisation, intelligence</t>
  </si>
  <si>
    <t>Flinks IBV</t>
  </si>
  <si>
    <t>Account verification, identity match, KYC light</t>
  </si>
  <si>
    <t>Flinks Pay</t>
  </si>
  <si>
    <t>EFT, PAD, Bill Payment, account-to-account</t>
  </si>
  <si>
    <t>Flinks Outbound</t>
  </si>
  <si>
    <t>Partage de données B2B pour banques (non pertinent MngConsul)</t>
  </si>
  <si>
    <t>Plaid  Agrégateur US/global Concurrent direct, plus fort hors Canada, moins fort au Canada</t>
  </si>
  <si>
    <r>
      <t>Stripe peut faire les </t>
    </r>
    <r>
      <rPr>
        <sz val="12.55"/>
        <color rgb="FF0A0A0A"/>
        <rFont val="Segoe UI"/>
        <family val="2"/>
      </rPr>
      <t>deux directions</t>
    </r>
    <r>
      <rPr>
        <b/>
        <sz val="12.55"/>
        <color rgb="FF0A0A0A"/>
        <rFont val="Segoe UI"/>
        <family val="2"/>
      </rPr>
      <t> : encaisser ET payer</t>
    </r>
  </si>
  <si>
    <t>PreProd Avancement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</si>
</sst>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quot; j&quot;"/>
  </numFmts>
  <fonts count="38" x14ac:knownFonts="1">
    <font>
      <sz val="11"/>
      <color theme="1"/>
      <name val="Calibri"/>
      <family val="2"/>
      <charset val="1"/>
    </font>
    <font>
      <b/>
      <sz val="10"/>
      <color rgb="FFCADCFC"/>
      <name val="Calibri"/>
      <charset val="1"/>
    </font>
    <font>
      <b/>
      <sz val="22"/>
      <color rgb="FFFFFFFF"/>
      <name val="Calibri"/>
      <charset val="1"/>
    </font>
    <font>
      <i/>
      <sz val="11"/>
      <color rgb="FFCADCFC"/>
      <name val="Calibri"/>
      <charset val="1"/>
    </font>
    <font>
      <b/>
      <sz val="12"/>
      <color rgb="FFFFFFFF"/>
      <name val="Calibri"/>
      <charset val="1"/>
    </font>
    <font>
      <b/>
      <sz val="48"/>
      <color rgb="FF0D9488"/>
      <name val="Calibri"/>
      <charset val="1"/>
    </font>
    <font>
      <b/>
      <sz val="48"/>
      <color rgb="FF065A82"/>
      <name val="Calibri"/>
      <charset val="1"/>
    </font>
    <font>
      <b/>
      <sz val="12"/>
      <color rgb="FF1E293B"/>
      <name val="Calibri"/>
      <charset val="1"/>
    </font>
    <font>
      <b/>
      <sz val="20"/>
      <color rgb="FF0D9488"/>
      <name val="Calibri"/>
      <charset val="1"/>
    </font>
    <font>
      <b/>
      <sz val="20"/>
      <color rgb="FFF59E0B"/>
      <name val="Calibri"/>
      <charset val="1"/>
    </font>
    <font>
      <b/>
      <sz val="20"/>
      <color rgb="FF065A82"/>
      <name val="Calibri"/>
      <charset val="1"/>
    </font>
    <font>
      <b/>
      <sz val="10"/>
      <color rgb="FF64748B"/>
      <name val="Calibri"/>
      <charset val="1"/>
    </font>
    <font>
      <b/>
      <sz val="11"/>
      <color rgb="FF0D9488"/>
      <name val="Calibri"/>
      <charset val="1"/>
    </font>
    <font>
      <b/>
      <sz val="11"/>
      <color rgb="FF1E293B"/>
      <name val="Calibri"/>
      <charset val="1"/>
    </font>
    <font>
      <b/>
      <sz val="11"/>
      <color rgb="FFF59E0B"/>
      <name val="Calibri"/>
      <charset val="1"/>
    </font>
    <font>
      <b/>
      <sz val="11"/>
      <color rgb="FFDC2626"/>
      <name val="Calibri"/>
      <charset val="1"/>
    </font>
    <font>
      <i/>
      <sz val="10"/>
      <color rgb="FF64748B"/>
      <name val="Calibri"/>
      <charset val="1"/>
    </font>
    <font>
      <b/>
      <sz val="11"/>
      <color rgb="FFFFFFFF"/>
      <name val="Calibri"/>
      <charset val="1"/>
    </font>
    <font>
      <sz val="10"/>
      <color rgb="FF64748B"/>
      <name val="Calibri"/>
      <charset val="1"/>
    </font>
    <font>
      <sz val="11"/>
      <color rgb="FF1E293B"/>
      <name val="Calibri"/>
      <charset val="1"/>
    </font>
    <font>
      <b/>
      <sz val="10"/>
      <name val="Calibri"/>
      <charset val="1"/>
    </font>
    <font>
      <b/>
      <sz val="18"/>
      <color rgb="FFFFFFFF"/>
      <name val="Calibri"/>
      <charset val="1"/>
    </font>
    <font>
      <i/>
      <sz val="10"/>
      <color rgb="FFCADCFC"/>
      <name val="Calibri"/>
      <charset val="1"/>
    </font>
    <font>
      <b/>
      <sz val="10"/>
      <color rgb="FF0D9488"/>
      <name val="Calibri"/>
      <charset val="1"/>
    </font>
    <font>
      <b/>
      <sz val="10"/>
      <color rgb="FF065A82"/>
      <name val="Calibri"/>
      <charset val="1"/>
    </font>
    <font>
      <b/>
      <sz val="16"/>
      <color rgb="FF1E2761"/>
      <name val="Georgia"/>
      <family val="1"/>
    </font>
    <font>
      <b/>
      <sz val="11"/>
      <color rgb="FFFFFFFF"/>
      <name val="Calibri"/>
      <family val="2"/>
      <scheme val="minor"/>
    </font>
    <font>
      <b/>
      <sz val="10"/>
      <color rgb="FF1E2761"/>
      <name val="Calibri"/>
      <family val="2"/>
      <scheme val="minor"/>
    </font>
    <font>
      <sz val="10"/>
      <color rgb="FF000000"/>
      <name val="Calibri"/>
      <family val="2"/>
      <scheme val="minor"/>
    </font>
    <font>
      <sz val="10"/>
      <color rgb="FFB85242"/>
      <name val="Calibri"/>
      <family val="2"/>
      <scheme val="minor"/>
    </font>
    <font>
      <sz val="10"/>
      <color rgb="FF2C9856"/>
      <name val="Calibri"/>
      <family val="2"/>
      <scheme val="minor"/>
    </font>
    <font>
      <sz val="10"/>
      <color rgb="FFF59C0B"/>
      <name val="Calibri"/>
      <family val="2"/>
      <scheme val="minor"/>
    </font>
    <font>
      <sz val="11"/>
      <color rgb="FF0A0A0A"/>
      <name val="Segoe UI"/>
      <family val="2"/>
    </font>
    <font>
      <sz val="11"/>
      <color rgb="FF0A0A0A"/>
      <name val="Segoe UI"/>
      <family val="2"/>
    </font>
    <font>
      <b/>
      <sz val="11"/>
      <color rgb="FF0A0A0A"/>
      <name val="Segoe UI"/>
      <family val="2"/>
    </font>
    <font>
      <b/>
      <sz val="11"/>
      <color theme="1"/>
      <name val="Calibri"/>
      <family val="2"/>
    </font>
    <font>
      <b/>
      <sz val="12.55"/>
      <color rgb="FF0A0A0A"/>
      <name val="Segoe UI"/>
      <family val="2"/>
    </font>
    <font>
      <sz val="12.55"/>
      <color rgb="FF0A0A0A"/>
      <name val="Segoe UI"/>
      <family val="2"/>
    </font>
  </fonts>
  <fills count="13">
    <fill>
      <patternFill patternType="none"/>
    </fill>
    <fill>
      <patternFill patternType="gray125"/>
    </fill>
    <fill>
      <patternFill patternType="solid">
        <fgColor rgb="FF21295C"/>
        <bgColor rgb="FF1E293B"/>
      </patternFill>
    </fill>
    <fill>
      <patternFill patternType="solid">
        <fgColor rgb="FF0D9488"/>
        <bgColor rgb="FF008080"/>
      </patternFill>
    </fill>
    <fill>
      <patternFill patternType="solid">
        <fgColor rgb="FF065A82"/>
        <bgColor rgb="FF008080"/>
      </patternFill>
    </fill>
    <fill>
      <patternFill patternType="solid">
        <fgColor rgb="FFFFFFFF"/>
        <bgColor rgb="FFF8FAFC"/>
      </patternFill>
    </fill>
    <fill>
      <patternFill patternType="solid">
        <fgColor rgb="FFF8FAFC"/>
        <bgColor rgb="FFFFFFFF"/>
      </patternFill>
    </fill>
    <fill>
      <patternFill patternType="solid">
        <fgColor rgb="FFEAEEFC"/>
        <bgColor indexed="64"/>
      </patternFill>
    </fill>
    <fill>
      <patternFill patternType="solid">
        <fgColor rgb="FF1E2761"/>
        <bgColor indexed="64"/>
      </patternFill>
    </fill>
    <fill>
      <patternFill patternType="solid">
        <fgColor rgb="FFFFDCCB"/>
        <bgColor indexed="64"/>
      </patternFill>
    </fill>
    <fill>
      <patternFill patternType="solid">
        <fgColor rgb="FFDAE1D6"/>
        <bgColor indexed="64"/>
      </patternFill>
    </fill>
    <fill>
      <patternFill patternType="solid">
        <fgColor rgb="FFFEFDE8"/>
        <bgColor indexed="64"/>
      </patternFill>
    </fill>
    <fill>
      <patternFill patternType="solid">
        <fgColor rgb="FFFDFDFC"/>
        <bgColor indexed="64"/>
      </patternFill>
    </fill>
  </fills>
  <borders count="15">
    <border>
      <left/>
      <right/>
      <top/>
      <bottom/>
      <diagonal/>
    </border>
    <border>
      <left style="thick">
        <color rgb="FF0D9488"/>
      </left>
      <right style="thin">
        <color rgb="FFCBD5E1"/>
      </right>
      <top style="thin">
        <color rgb="FFCBD5E1"/>
      </top>
      <bottom/>
      <diagonal/>
    </border>
    <border>
      <left style="thick">
        <color rgb="FF065A82"/>
      </left>
      <right style="thin">
        <color rgb="FFCBD5E1"/>
      </right>
      <top style="thin">
        <color rgb="FFCBD5E1"/>
      </top>
      <bottom/>
      <diagonal/>
    </border>
    <border>
      <left style="thick">
        <color rgb="FF0D9488"/>
      </left>
      <right style="thin">
        <color rgb="FFCBD5E1"/>
      </right>
      <top/>
      <bottom/>
      <diagonal/>
    </border>
    <border>
      <left style="thick">
        <color rgb="FF065A82"/>
      </left>
      <right style="thin">
        <color rgb="FFCBD5E1"/>
      </right>
      <top/>
      <bottom/>
      <diagonal/>
    </border>
    <border>
      <left style="thick">
        <color rgb="FF0D9488"/>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ck">
        <color rgb="FF065A82"/>
      </left>
      <right/>
      <top/>
      <bottom style="thin">
        <color rgb="FFCBD5E1"/>
      </bottom>
      <diagonal/>
    </border>
    <border>
      <left style="thin">
        <color rgb="FFCBD5E1"/>
      </left>
      <right style="thin">
        <color rgb="FFCBD5E1"/>
      </right>
      <top style="thin">
        <color rgb="FFCBD5E1"/>
      </top>
      <bottom/>
      <diagonal/>
    </border>
    <border>
      <left style="thin">
        <color rgb="FFCBD5E1"/>
      </left>
      <right style="thin">
        <color rgb="FFCBD5E1"/>
      </right>
      <top/>
      <bottom style="thin">
        <color rgb="FFCBD5E1"/>
      </bottom>
      <diagonal/>
    </border>
    <border>
      <left style="thin">
        <color rgb="FFFFFFFF"/>
      </left>
      <right style="thin">
        <color rgb="FFFFFFFF"/>
      </right>
      <top/>
      <bottom style="medium">
        <color rgb="FF0D9488"/>
      </bottom>
      <diagonal/>
    </border>
    <border>
      <left style="thin">
        <color rgb="FFFFFFFF"/>
      </left>
      <right style="thin">
        <color rgb="FFFFFFFF"/>
      </right>
      <top/>
      <bottom style="medium">
        <color rgb="FF065A82"/>
      </bottom>
      <diagonal/>
    </border>
    <border>
      <left style="thin">
        <color rgb="FFCAE0FC"/>
      </left>
      <right style="thin">
        <color rgb="FFCAE0FC"/>
      </right>
      <top style="thin">
        <color rgb="FFCAE0FC"/>
      </top>
      <bottom style="thin">
        <color rgb="FFCAE0FC"/>
      </bottom>
      <diagonal/>
    </border>
    <border>
      <left style="thin">
        <color auto="1"/>
      </left>
      <right style="thin">
        <color auto="1"/>
      </right>
      <top style="thin">
        <color auto="1"/>
      </top>
      <bottom style="thin">
        <color auto="1"/>
      </bottom>
      <diagonal/>
    </border>
  </borders>
  <cellStyleXfs count="1">
    <xf numFmtId="0" fontId="0" fillId="0" borderId="0"/>
  </cellStyleXfs>
  <cellXfs count="76">
    <xf numFmtId="0" fontId="0" fillId="0" borderId="0" xfId="0"/>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8" fillId="6" borderId="9" xfId="0" applyFont="1" applyFill="1" applyBorder="1" applyAlignment="1">
      <alignment horizontal="center" vertical="center"/>
    </xf>
    <xf numFmtId="0" fontId="9" fillId="6" borderId="9" xfId="0" applyFont="1" applyFill="1" applyBorder="1" applyAlignment="1">
      <alignment horizontal="center" vertical="center"/>
    </xf>
    <xf numFmtId="0" fontId="10" fillId="6" borderId="9" xfId="0" applyFont="1" applyFill="1" applyBorder="1" applyAlignment="1">
      <alignment horizontal="center" vertical="center"/>
    </xf>
    <xf numFmtId="0" fontId="11" fillId="6" borderId="10" xfId="0" applyFont="1" applyFill="1" applyBorder="1" applyAlignment="1">
      <alignment horizontal="center" vertical="center"/>
    </xf>
    <xf numFmtId="0" fontId="13" fillId="6" borderId="6" xfId="0" applyFont="1" applyFill="1" applyBorder="1" applyAlignment="1">
      <alignment horizontal="center" vertical="center"/>
    </xf>
    <xf numFmtId="0" fontId="13" fillId="5" borderId="6" xfId="0" applyFont="1" applyFill="1" applyBorder="1" applyAlignment="1">
      <alignment horizontal="center" vertical="center"/>
    </xf>
    <xf numFmtId="0" fontId="17" fillId="2" borderId="11" xfId="0" applyFont="1" applyFill="1" applyBorder="1" applyAlignment="1">
      <alignment horizontal="center" vertical="center"/>
    </xf>
    <xf numFmtId="0" fontId="18" fillId="6" borderId="6" xfId="0" applyFont="1" applyFill="1" applyBorder="1" applyAlignment="1">
      <alignment horizontal="center" vertical="center"/>
    </xf>
    <xf numFmtId="0" fontId="13" fillId="6" borderId="6" xfId="0" applyFont="1" applyFill="1" applyBorder="1" applyAlignment="1">
      <alignment horizontal="left" vertical="center" indent="1"/>
    </xf>
    <xf numFmtId="164" fontId="13" fillId="6" borderId="6" xfId="0" applyNumberFormat="1" applyFont="1" applyFill="1" applyBorder="1" applyAlignment="1">
      <alignment horizontal="center" vertical="center"/>
    </xf>
    <xf numFmtId="165" fontId="19" fillId="6" borderId="6" xfId="0" applyNumberFormat="1" applyFont="1" applyFill="1" applyBorder="1" applyAlignment="1">
      <alignment horizontal="center" vertical="center"/>
    </xf>
    <xf numFmtId="0" fontId="20" fillId="6" borderId="6" xfId="0" applyFont="1" applyFill="1" applyBorder="1" applyAlignment="1">
      <alignment horizontal="center" vertical="center"/>
    </xf>
    <xf numFmtId="0" fontId="18" fillId="5" borderId="6" xfId="0" applyFont="1" applyFill="1" applyBorder="1" applyAlignment="1">
      <alignment horizontal="center" vertical="center"/>
    </xf>
    <xf numFmtId="0" fontId="13" fillId="5" borderId="6" xfId="0" applyFont="1" applyFill="1" applyBorder="1" applyAlignment="1">
      <alignment horizontal="left" vertical="center" indent="1"/>
    </xf>
    <xf numFmtId="164" fontId="13" fillId="5" borderId="6" xfId="0" applyNumberFormat="1" applyFont="1" applyFill="1" applyBorder="1" applyAlignment="1">
      <alignment horizontal="center" vertical="center"/>
    </xf>
    <xf numFmtId="165" fontId="19" fillId="5" borderId="6" xfId="0" applyNumberFormat="1" applyFont="1" applyFill="1" applyBorder="1" applyAlignment="1">
      <alignment horizontal="center" vertical="center"/>
    </xf>
    <xf numFmtId="0" fontId="20" fillId="5" borderId="6" xfId="0" applyFont="1" applyFill="1" applyBorder="1" applyAlignment="1">
      <alignment horizontal="center" vertical="center"/>
    </xf>
    <xf numFmtId="164" fontId="4" fillId="3" borderId="0" xfId="0" applyNumberFormat="1" applyFont="1" applyFill="1" applyAlignment="1">
      <alignment horizontal="center" vertical="center"/>
    </xf>
    <xf numFmtId="165" fontId="4" fillId="3" borderId="0" xfId="0" applyNumberFormat="1" applyFont="1" applyFill="1" applyAlignment="1">
      <alignment horizontal="center" vertical="center"/>
    </xf>
    <xf numFmtId="0" fontId="17" fillId="3" borderId="0" xfId="0" applyFont="1" applyFill="1" applyAlignment="1">
      <alignment horizontal="center" vertical="center"/>
    </xf>
    <xf numFmtId="0" fontId="17" fillId="2" borderId="12" xfId="0" applyFont="1" applyFill="1" applyBorder="1" applyAlignment="1">
      <alignment horizontal="center" vertical="center"/>
    </xf>
    <xf numFmtId="164" fontId="4" fillId="4" borderId="0" xfId="0" applyNumberFormat="1" applyFont="1" applyFill="1" applyAlignment="1">
      <alignment horizontal="center" vertical="center"/>
    </xf>
    <xf numFmtId="165" fontId="4" fillId="4" borderId="0" xfId="0" applyNumberFormat="1" applyFont="1" applyFill="1" applyAlignment="1">
      <alignment horizontal="center" vertical="center"/>
    </xf>
    <xf numFmtId="0" fontId="17" fillId="4" borderId="0" xfId="0" applyFont="1" applyFill="1" applyAlignment="1">
      <alignment horizontal="center" vertical="center"/>
    </xf>
    <xf numFmtId="0" fontId="17" fillId="2" borderId="12" xfId="0" applyFont="1" applyFill="1" applyBorder="1" applyAlignment="1">
      <alignment horizontal="center" vertical="center" wrapText="1"/>
    </xf>
    <xf numFmtId="0" fontId="23" fillId="6" borderId="6" xfId="0" applyFont="1" applyFill="1" applyBorder="1" applyAlignment="1">
      <alignment horizontal="center" vertical="center"/>
    </xf>
    <xf numFmtId="0" fontId="24" fillId="6" borderId="6" xfId="0" applyFont="1" applyFill="1" applyBorder="1" applyAlignment="1">
      <alignment horizontal="center" vertical="center"/>
    </xf>
    <xf numFmtId="0" fontId="23" fillId="5" borderId="6" xfId="0" applyFont="1" applyFill="1" applyBorder="1" applyAlignment="1">
      <alignment horizontal="center" vertical="center"/>
    </xf>
    <xf numFmtId="0" fontId="24" fillId="5" borderId="6" xfId="0" applyFont="1" applyFill="1" applyBorder="1" applyAlignment="1">
      <alignment horizontal="center" vertical="center"/>
    </xf>
    <xf numFmtId="164" fontId="4" fillId="2" borderId="0" xfId="0" applyNumberFormat="1" applyFont="1" applyFill="1" applyAlignment="1">
      <alignment horizontal="center" vertical="center"/>
    </xf>
    <xf numFmtId="165" fontId="4" fillId="2" borderId="0" xfId="0" applyNumberFormat="1" applyFont="1" applyFill="1" applyAlignment="1">
      <alignment horizontal="center" vertical="center"/>
    </xf>
    <xf numFmtId="0" fontId="17" fillId="2" borderId="0" xfId="0" applyFont="1" applyFill="1" applyAlignment="1">
      <alignment horizontal="center" vertical="center"/>
    </xf>
    <xf numFmtId="0" fontId="26" fillId="8" borderId="13" xfId="0" applyFont="1" applyFill="1" applyBorder="1" applyAlignment="1">
      <alignment horizontal="center" vertical="center"/>
    </xf>
    <xf numFmtId="0" fontId="27" fillId="0" borderId="13" xfId="0" applyFont="1" applyBorder="1" applyAlignment="1">
      <alignment horizontal="left" vertical="center" indent="1"/>
    </xf>
    <xf numFmtId="0" fontId="28" fillId="0" borderId="13" xfId="0" applyFont="1" applyBorder="1" applyAlignment="1">
      <alignment horizontal="center" vertical="center"/>
    </xf>
    <xf numFmtId="0" fontId="29" fillId="9" borderId="13" xfId="0" applyFont="1" applyFill="1" applyBorder="1" applyAlignment="1">
      <alignment horizontal="center" vertical="center"/>
    </xf>
    <xf numFmtId="0" fontId="30" fillId="10" borderId="13" xfId="0" applyFont="1" applyFill="1" applyBorder="1" applyAlignment="1">
      <alignment horizontal="center" vertical="center"/>
    </xf>
    <xf numFmtId="0" fontId="31" fillId="11" borderId="13" xfId="0" applyFont="1" applyFill="1" applyBorder="1" applyAlignment="1">
      <alignment horizontal="center" vertical="center"/>
    </xf>
    <xf numFmtId="0" fontId="35" fillId="0" borderId="0" xfId="0" applyFont="1"/>
    <xf numFmtId="0" fontId="0" fillId="0" borderId="14" xfId="0" applyBorder="1"/>
    <xf numFmtId="0" fontId="32" fillId="12" borderId="14" xfId="0" applyFont="1" applyFill="1" applyBorder="1" applyAlignment="1">
      <alignment horizontal="left" vertical="top"/>
    </xf>
    <xf numFmtId="0" fontId="32" fillId="12" borderId="14" xfId="0" applyFont="1" applyFill="1" applyBorder="1" applyAlignment="1">
      <alignment horizontal="left" vertical="top" wrapText="1"/>
    </xf>
    <xf numFmtId="0" fontId="33" fillId="12" borderId="14" xfId="0" applyFont="1" applyFill="1" applyBorder="1" applyAlignment="1">
      <alignment horizontal="left" vertical="top" wrapText="1"/>
    </xf>
    <xf numFmtId="0" fontId="34" fillId="12" borderId="14" xfId="0" applyFont="1" applyFill="1" applyBorder="1" applyAlignment="1">
      <alignment horizontal="left" vertical="top" wrapText="1"/>
    </xf>
    <xf numFmtId="0" fontId="36" fillId="0" borderId="0" xfId="0" applyFont="1" applyAlignment="1">
      <alignment vertical="center"/>
    </xf>
    <xf numFmtId="0" fontId="1" fillId="4" borderId="0" xfId="0" applyFont="1" applyFill="1" applyAlignment="1">
      <alignment horizontal="left" vertical="center" indent="1"/>
    </xf>
    <xf numFmtId="0" fontId="2" fillId="4" borderId="0" xfId="0" applyFont="1" applyFill="1" applyAlignment="1">
      <alignment horizontal="left" vertical="center" indent="1"/>
    </xf>
    <xf numFmtId="0" fontId="3" fillId="4" borderId="0" xfId="0" applyFont="1" applyFill="1" applyAlignment="1">
      <alignment horizontal="left" vertical="center" indent="1"/>
    </xf>
    <xf numFmtId="0" fontId="4" fillId="4" borderId="0" xfId="0" applyFont="1" applyFill="1" applyAlignment="1">
      <alignment horizontal="right" vertical="center" indent="2"/>
    </xf>
    <xf numFmtId="0" fontId="1" fillId="2" borderId="0" xfId="0" applyFont="1" applyFill="1" applyAlignment="1">
      <alignment horizontal="left" vertical="center" indent="1"/>
    </xf>
    <xf numFmtId="0" fontId="2" fillId="2" borderId="0" xfId="0" applyFont="1" applyFill="1" applyAlignment="1">
      <alignment horizontal="left" vertical="center" indent="1"/>
    </xf>
    <xf numFmtId="0" fontId="3" fillId="2" borderId="0" xfId="0" applyFont="1" applyFill="1" applyAlignment="1">
      <alignment horizontal="left" vertical="center" indent="1"/>
    </xf>
    <xf numFmtId="0" fontId="4" fillId="3" borderId="0" xfId="0" applyFont="1" applyFill="1" applyAlignment="1">
      <alignment horizontal="left" vertical="center" indent="1"/>
    </xf>
    <xf numFmtId="0" fontId="4" fillId="4" borderId="0" xfId="0" applyFont="1" applyFill="1" applyAlignment="1">
      <alignment horizontal="left" vertical="center" indent="1"/>
    </xf>
    <xf numFmtId="164" fontId="5" fillId="5" borderId="1" xfId="0" applyNumberFormat="1" applyFont="1" applyFill="1" applyBorder="1" applyAlignment="1">
      <alignment horizontal="center" vertical="center"/>
    </xf>
    <xf numFmtId="164" fontId="6" fillId="5" borderId="2" xfId="0" applyNumberFormat="1"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0" borderId="0" xfId="0" applyFont="1" applyAlignment="1">
      <alignment horizontal="left" vertical="center"/>
    </xf>
    <xf numFmtId="0" fontId="16" fillId="0" borderId="0" xfId="0" applyFont="1" applyAlignment="1">
      <alignment horizontal="left" vertical="center" indent="1"/>
    </xf>
    <xf numFmtId="0" fontId="12" fillId="6" borderId="6" xfId="0" applyFont="1" applyFill="1" applyBorder="1" applyAlignment="1">
      <alignment horizontal="left" vertical="center" indent="1"/>
    </xf>
    <xf numFmtId="0" fontId="14" fillId="5" borderId="6" xfId="0" applyFont="1" applyFill="1" applyBorder="1" applyAlignment="1">
      <alignment horizontal="left" vertical="center" indent="1"/>
    </xf>
    <xf numFmtId="0" fontId="15" fillId="6" borderId="6" xfId="0" applyFont="1" applyFill="1" applyBorder="1" applyAlignment="1">
      <alignment horizontal="left" vertical="center" indent="1"/>
    </xf>
    <xf numFmtId="0" fontId="1" fillId="3" borderId="0" xfId="0" applyFont="1" applyFill="1" applyAlignment="1">
      <alignment horizontal="left" vertical="center" indent="1"/>
    </xf>
    <xf numFmtId="0" fontId="2" fillId="3" borderId="0" xfId="0" applyFont="1" applyFill="1" applyAlignment="1">
      <alignment horizontal="left" vertical="center" indent="1"/>
    </xf>
    <xf numFmtId="0" fontId="3" fillId="3" borderId="0" xfId="0" applyFont="1" applyFill="1" applyAlignment="1">
      <alignment horizontal="left" vertical="center" indent="1"/>
    </xf>
    <xf numFmtId="0" fontId="4" fillId="3" borderId="0" xfId="0" applyFont="1" applyFill="1" applyAlignment="1">
      <alignment horizontal="right" vertical="center" indent="2"/>
    </xf>
    <xf numFmtId="0" fontId="21" fillId="2" borderId="0" xfId="0" applyFont="1" applyFill="1" applyAlignment="1">
      <alignment horizontal="left" vertical="center" indent="1"/>
    </xf>
    <xf numFmtId="0" fontId="22" fillId="2" borderId="0" xfId="0" applyFont="1" applyFill="1" applyAlignment="1">
      <alignment horizontal="left" vertical="center" indent="1"/>
    </xf>
    <xf numFmtId="0" fontId="4" fillId="2" borderId="0" xfId="0" applyFont="1" applyFill="1" applyAlignment="1">
      <alignment horizontal="right" vertical="center" indent="2"/>
    </xf>
    <xf numFmtId="0" fontId="25" fillId="7" borderId="0" xfId="0" applyFont="1" applyFill="1" applyAlignment="1">
      <alignment vertical="center"/>
    </xf>
  </cellXfs>
  <cellStyles count="1">
    <cellStyle name="Normal" xfId="0" builtinId="0"/>
  </cellStyles>
  <dxfs count="9">
    <dxf>
      <font>
        <b/>
        <color rgb="FFDC2626"/>
      </font>
      <fill>
        <patternFill>
          <bgColor rgb="FFFEE2E2"/>
        </patternFill>
      </fill>
    </dxf>
    <dxf>
      <font>
        <b/>
        <color rgb="FF92400E"/>
      </font>
      <fill>
        <patternFill>
          <bgColor rgb="FFFEF3C7"/>
        </patternFill>
      </fill>
    </dxf>
    <dxf>
      <font>
        <b/>
        <color rgb="FF0D9488"/>
      </font>
      <fill>
        <patternFill>
          <bgColor rgb="FFD1FAE5"/>
        </patternFill>
      </fill>
    </dxf>
    <dxf>
      <font>
        <b/>
        <color rgb="FFDC2626"/>
      </font>
      <fill>
        <patternFill>
          <bgColor rgb="FFFEE2E2"/>
        </patternFill>
      </fill>
    </dxf>
    <dxf>
      <font>
        <b/>
        <color rgb="FF92400E"/>
      </font>
      <fill>
        <patternFill>
          <bgColor rgb="FFFEF3C7"/>
        </patternFill>
      </fill>
    </dxf>
    <dxf>
      <font>
        <b/>
        <color rgb="FF0D9488"/>
      </font>
      <fill>
        <patternFill>
          <bgColor rgb="FFD1FAE5"/>
        </patternFill>
      </fill>
    </dxf>
    <dxf>
      <font>
        <b/>
        <color rgb="FFDC2626"/>
      </font>
      <fill>
        <patternFill>
          <bgColor rgb="FFFEE2E2"/>
        </patternFill>
      </fill>
    </dxf>
    <dxf>
      <font>
        <b/>
        <color rgb="FF92400E"/>
      </font>
      <fill>
        <patternFill>
          <bgColor rgb="FFFEF3C7"/>
        </patternFill>
      </fill>
    </dxf>
    <dxf>
      <font>
        <b/>
        <color rgb="FF0D9488"/>
      </font>
      <fill>
        <patternFill>
          <bgColor rgb="FFD1FAE5"/>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D9488"/>
      <rgbColor rgb="FFC0C0C0"/>
      <rgbColor rgb="FF808080"/>
      <rgbColor rgb="FF9999FF"/>
      <rgbColor rgb="FF993366"/>
      <rgbColor rgb="FFFEF3C7"/>
      <rgbColor rgb="FFF8FAFC"/>
      <rgbColor rgb="FF660066"/>
      <rgbColor rgb="FFFF8080"/>
      <rgbColor rgb="FF065A82"/>
      <rgbColor rgb="FFCBD5E1"/>
      <rgbColor rgb="FF000080"/>
      <rgbColor rgb="FFFF00FF"/>
      <rgbColor rgb="FFFFFF00"/>
      <rgbColor rgb="FF00FFFF"/>
      <rgbColor rgb="FF800080"/>
      <rgbColor rgb="FF800000"/>
      <rgbColor rgb="FF008080"/>
      <rgbColor rgb="FF0000FF"/>
      <rgbColor rgb="FF00CCFF"/>
      <rgbColor rgb="FFCADCFC"/>
      <rgbColor rgb="FFD1FAE5"/>
      <rgbColor rgb="FFFFFF99"/>
      <rgbColor rgb="FF99CCFF"/>
      <rgbColor rgb="FFFF99CC"/>
      <rgbColor rgb="FFCC99FF"/>
      <rgbColor rgb="FFFEE2E2"/>
      <rgbColor rgb="FF3366FF"/>
      <rgbColor rgb="FF33CCCC"/>
      <rgbColor rgb="FF99CC00"/>
      <rgbColor rgb="FFFFCC00"/>
      <rgbColor rgb="FFF59E0B"/>
      <rgbColor rgb="FFFF6600"/>
      <rgbColor rgb="FF64748B"/>
      <rgbColor rgb="FF969696"/>
      <rgbColor rgb="FF21295C"/>
      <rgbColor rgb="FF339966"/>
      <rgbColor rgb="FF003300"/>
      <rgbColor rgb="FF333300"/>
      <rgbColor rgb="FF92400E"/>
      <rgbColor rgb="FF993366"/>
      <rgbColor rgb="FF333399"/>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190500</xdr:colOff>
      <xdr:row>9</xdr:row>
      <xdr:rowOff>1</xdr:rowOff>
    </xdr:from>
    <xdr:to>
      <xdr:col>1</xdr:col>
      <xdr:colOff>4343400</xdr:colOff>
      <xdr:row>14</xdr:row>
      <xdr:rowOff>114301</xdr:rowOff>
    </xdr:to>
    <xdr:sp macro="" textlink="">
      <xdr:nvSpPr>
        <xdr:cNvPr id="2" name="ZoneTexte 1">
          <a:extLst>
            <a:ext uri="{FF2B5EF4-FFF2-40B4-BE49-F238E27FC236}">
              <a16:creationId xmlns:a16="http://schemas.microsoft.com/office/drawing/2014/main" id="{CAFAC443-418B-F6E9-E061-1518E7545D83}"/>
            </a:ext>
          </a:extLst>
        </xdr:cNvPr>
        <xdr:cNvSpPr txBox="1"/>
      </xdr:nvSpPr>
      <xdr:spPr>
        <a:xfrm>
          <a:off x="190500" y="2143126"/>
          <a:ext cx="6600825"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0" i="0">
              <a:solidFill>
                <a:schemeClr val="dk1"/>
              </a:solidFill>
              <a:effectLst/>
              <a:latin typeface="+mn-lt"/>
              <a:ea typeface="+mn-ea"/>
              <a:cs typeface="+mn-cs"/>
            </a:rPr>
            <a:t>Flinks Pay est le module de mouvement d'argent de Flinks. Il permet aux applications tierces d'initier des paiements entre comptes bancaires canadiens, sans passer par les cartes de crédit ni les frais de Visa/Mastercard.</a:t>
          </a:r>
        </a:p>
        <a:p>
          <a:r>
            <a:rPr lang="fr-CA" sz="1100" b="0" i="0">
              <a:solidFill>
                <a:schemeClr val="dk1"/>
              </a:solidFill>
              <a:effectLst/>
              <a:latin typeface="+mn-lt"/>
              <a:ea typeface="+mn-ea"/>
              <a:cs typeface="+mn-cs"/>
            </a:rPr>
            <a:t>C'est le complément transactionnel de Flinks Capital (qui ne fait que lire des données) — avec Pay, on bouge réellement l'argent.</a:t>
          </a:r>
        </a:p>
        <a:p>
          <a:endParaRPr lang="fr-CA" sz="1100"/>
        </a:p>
      </xdr:txBody>
    </xdr:sp>
    <xdr:clientData/>
  </xdr:twoCellAnchor>
  <xdr:twoCellAnchor>
    <xdr:from>
      <xdr:col>0</xdr:col>
      <xdr:colOff>180975</xdr:colOff>
      <xdr:row>15</xdr:row>
      <xdr:rowOff>0</xdr:rowOff>
    </xdr:from>
    <xdr:to>
      <xdr:col>1</xdr:col>
      <xdr:colOff>1571626</xdr:colOff>
      <xdr:row>28</xdr:row>
      <xdr:rowOff>123825</xdr:rowOff>
    </xdr:to>
    <xdr:sp macro="" textlink="">
      <xdr:nvSpPr>
        <xdr:cNvPr id="3" name="ZoneTexte 2">
          <a:extLst>
            <a:ext uri="{FF2B5EF4-FFF2-40B4-BE49-F238E27FC236}">
              <a16:creationId xmlns:a16="http://schemas.microsoft.com/office/drawing/2014/main" id="{FABCD85E-56E8-3B8F-EDBB-4B9B7F2D34B6}"/>
            </a:ext>
          </a:extLst>
        </xdr:cNvPr>
        <xdr:cNvSpPr txBox="1"/>
      </xdr:nvSpPr>
      <xdr:spPr>
        <a:xfrm>
          <a:off x="180975" y="3286125"/>
          <a:ext cx="3838576" cy="2600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0" i="0">
              <a:solidFill>
                <a:schemeClr val="dk1"/>
              </a:solidFill>
              <a:effectLst/>
              <a:latin typeface="+mn-lt"/>
              <a:ea typeface="+mn-ea"/>
              <a:cs typeface="+mn-cs"/>
            </a:rPr>
            <a:t>[Application MngConsul]</a:t>
          </a:r>
        </a:p>
        <a:p>
          <a:r>
            <a:rPr lang="fr-CA" sz="1100" b="0" i="0">
              <a:solidFill>
                <a:schemeClr val="dk1"/>
              </a:solidFill>
              <a:effectLst/>
              <a:latin typeface="+mn-lt"/>
              <a:ea typeface="+mn-ea"/>
              <a:cs typeface="+mn-cs"/>
            </a:rPr>
            <a:t>↓</a:t>
          </a:r>
        </a:p>
        <a:p>
          <a:r>
            <a:rPr lang="fr-CA" sz="1100" b="0" i="0">
              <a:solidFill>
                <a:schemeClr val="dk1"/>
              </a:solidFill>
              <a:effectLst/>
              <a:latin typeface="+mn-lt"/>
              <a:ea typeface="+mn-ea"/>
              <a:cs typeface="+mn-cs"/>
            </a:rPr>
            <a:t>API Flinks Pay</a:t>
          </a:r>
        </a:p>
        <a:p>
          <a:r>
            <a:rPr lang="fr-CA" sz="1100" b="0" i="0">
              <a:solidFill>
                <a:schemeClr val="dk1"/>
              </a:solidFill>
              <a:effectLst/>
              <a:latin typeface="+mn-lt"/>
              <a:ea typeface="+mn-ea"/>
              <a:cs typeface="+mn-cs"/>
            </a:rPr>
            <a:t>↓</a:t>
          </a:r>
        </a:p>
        <a:p>
          <a:r>
            <a:rPr lang="fr-CA" sz="1100" b="0" i="0">
              <a:solidFill>
                <a:schemeClr val="dk1"/>
              </a:solidFill>
              <a:effectLst/>
              <a:latin typeface="+mn-lt"/>
              <a:ea typeface="+mn-ea"/>
              <a:cs typeface="+mn-cs"/>
            </a:rPr>
            <a:t>[Flinks (Montréal)]</a:t>
          </a:r>
        </a:p>
        <a:p>
          <a:r>
            <a:rPr lang="fr-CA" sz="1100" b="0" i="0">
              <a:solidFill>
                <a:schemeClr val="dk1"/>
              </a:solidFill>
              <a:effectLst/>
              <a:latin typeface="+mn-lt"/>
              <a:ea typeface="+mn-ea"/>
              <a:cs typeface="+mn-cs"/>
            </a:rPr>
            <a:t>↓</a:t>
          </a:r>
        </a:p>
        <a:p>
          <a:r>
            <a:rPr lang="fr-CA" sz="1100" b="0" i="0">
              <a:solidFill>
                <a:schemeClr val="dk1"/>
              </a:solidFill>
              <a:effectLst/>
              <a:latin typeface="+mn-lt"/>
              <a:ea typeface="+mn-ea"/>
              <a:cs typeface="+mn-cs"/>
            </a:rPr>
            <a:t>Paiements Canada (réseau interbancaire)</a:t>
          </a:r>
        </a:p>
        <a:p>
          <a:r>
            <a:rPr lang="fr-CA" sz="1100" b="0" i="0">
              <a:solidFill>
                <a:schemeClr val="dk1"/>
              </a:solidFill>
              <a:effectLst/>
              <a:latin typeface="+mn-lt"/>
              <a:ea typeface="+mn-ea"/>
              <a:cs typeface="+mn-cs"/>
            </a:rPr>
            <a:t>↓</a:t>
          </a:r>
        </a:p>
        <a:p>
          <a:r>
            <a:rPr lang="fr-CA" sz="1100" b="0" i="0">
              <a:solidFill>
                <a:schemeClr val="dk1"/>
              </a:solidFill>
              <a:effectLst/>
              <a:latin typeface="+mn-lt"/>
              <a:ea typeface="+mn-ea"/>
              <a:cs typeface="+mn-cs"/>
            </a:rPr>
            <a:t>Banque source ←──── transfert ────→ Banque destination</a:t>
          </a:r>
        </a:p>
        <a:p>
          <a:endParaRPr lang="fr-CA" sz="1100" b="0" i="0">
            <a:solidFill>
              <a:schemeClr val="dk1"/>
            </a:solidFill>
            <a:effectLst/>
            <a:latin typeface="+mn-lt"/>
            <a:ea typeface="+mn-ea"/>
            <a:cs typeface="+mn-cs"/>
          </a:endParaRPr>
        </a:p>
        <a:p>
          <a:r>
            <a:rPr lang="fr-CA" sz="1100" b="0" i="0">
              <a:solidFill>
                <a:schemeClr val="dk1"/>
              </a:solidFill>
              <a:effectLst/>
              <a:latin typeface="+mn-lt"/>
              <a:ea typeface="+mn-ea"/>
              <a:cs typeface="+mn-cs"/>
            </a:rPr>
            <a:t>Flinks Pay agit comme un facilitateur entre ton app et le réseau Paiements Canada (équivalent canadien du système ACH américain ou SEPA européen).</a:t>
          </a:r>
          <a:endParaRPr lang="fr-CA" sz="1100"/>
        </a:p>
      </xdr:txBody>
    </xdr:sp>
    <xdr:clientData/>
  </xdr:twoCellAnchor>
  <xdr:twoCellAnchor>
    <xdr:from>
      <xdr:col>1</xdr:col>
      <xdr:colOff>1647825</xdr:colOff>
      <xdr:row>19</xdr:row>
      <xdr:rowOff>142876</xdr:rowOff>
    </xdr:from>
    <xdr:to>
      <xdr:col>5</xdr:col>
      <xdr:colOff>228600</xdr:colOff>
      <xdr:row>28</xdr:row>
      <xdr:rowOff>104776</xdr:rowOff>
    </xdr:to>
    <xdr:sp macro="" textlink="">
      <xdr:nvSpPr>
        <xdr:cNvPr id="4" name="ZoneTexte 3">
          <a:extLst>
            <a:ext uri="{FF2B5EF4-FFF2-40B4-BE49-F238E27FC236}">
              <a16:creationId xmlns:a16="http://schemas.microsoft.com/office/drawing/2014/main" id="{6AB4986A-6831-2880-7D6B-2CC418345360}"/>
            </a:ext>
          </a:extLst>
        </xdr:cNvPr>
        <xdr:cNvSpPr txBox="1"/>
      </xdr:nvSpPr>
      <xdr:spPr>
        <a:xfrm>
          <a:off x="4095750" y="4191001"/>
          <a:ext cx="5467350"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b="0" i="0">
              <a:solidFill>
                <a:schemeClr val="dk1"/>
              </a:solidFill>
              <a:effectLst/>
              <a:latin typeface="+mn-lt"/>
              <a:ea typeface="+mn-ea"/>
              <a:cs typeface="+mn-cs"/>
            </a:rPr>
            <a:t>EFT (Electronic Funds Transfer) — La base</a:t>
          </a:r>
        </a:p>
        <a:p>
          <a:r>
            <a:rPr lang="fr-CA" sz="1100" b="0" i="0">
              <a:solidFill>
                <a:schemeClr val="dk1"/>
              </a:solidFill>
              <a:effectLst/>
              <a:latin typeface="+mn-lt"/>
              <a:ea typeface="+mn-ea"/>
              <a:cs typeface="+mn-cs"/>
            </a:rPr>
            <a:t>Transfert de fonds entre deux comptes bancaires canadiens.</a:t>
          </a:r>
        </a:p>
        <a:p>
          <a:r>
            <a:rPr lang="fr-CA" sz="1100" b="0" i="0">
              <a:solidFill>
                <a:schemeClr val="dk1"/>
              </a:solidFill>
              <a:effectLst/>
              <a:latin typeface="+mn-lt"/>
              <a:ea typeface="+mn-ea"/>
              <a:cs typeface="+mn-cs"/>
            </a:rPr>
            <a:t>EFT Pull (Débit du compte client)</a:t>
          </a:r>
        </a:p>
        <a:p>
          <a:r>
            <a:rPr lang="fr-CA" sz="1100" b="0" i="0">
              <a:solidFill>
                <a:schemeClr val="dk1"/>
              </a:solidFill>
              <a:effectLst/>
              <a:latin typeface="+mn-lt"/>
              <a:ea typeface="+mn-ea"/>
              <a:cs typeface="+mn-cs"/>
            </a:rPr>
            <a:t>MngConsul demande: "Débite 500 $ du compte du client X"</a:t>
          </a:r>
        </a:p>
        <a:p>
          <a:r>
            <a:rPr lang="fr-CA" sz="1100" b="0" i="0">
              <a:solidFill>
                <a:schemeClr val="dk1"/>
              </a:solidFill>
              <a:effectLst/>
              <a:latin typeface="+mn-lt"/>
              <a:ea typeface="+mn-ea"/>
              <a:cs typeface="+mn-cs"/>
            </a:rPr>
            <a:t>       ↓</a:t>
          </a:r>
        </a:p>
        <a:p>
          <a:r>
            <a:rPr lang="fr-CA" sz="1100" b="0" i="0">
              <a:solidFill>
                <a:schemeClr val="dk1"/>
              </a:solidFill>
              <a:effectLst/>
              <a:latin typeface="+mn-lt"/>
              <a:ea typeface="+mn-ea"/>
              <a:cs typeface="+mn-cs"/>
            </a:rPr>
            <a:t>Flinks initie un débit via Paiements Canada</a:t>
          </a:r>
        </a:p>
        <a:p>
          <a:r>
            <a:rPr lang="fr-CA" sz="1100" b="0" i="0">
              <a:solidFill>
                <a:schemeClr val="dk1"/>
              </a:solidFill>
              <a:effectLst/>
              <a:latin typeface="+mn-lt"/>
              <a:ea typeface="+mn-ea"/>
              <a:cs typeface="+mn-cs"/>
            </a:rPr>
            <a:t>       ↓</a:t>
          </a:r>
        </a:p>
        <a:p>
          <a:r>
            <a:rPr lang="fr-CA" sz="1100" b="0" i="0">
              <a:solidFill>
                <a:schemeClr val="dk1"/>
              </a:solidFill>
              <a:effectLst/>
              <a:latin typeface="+mn-lt"/>
              <a:ea typeface="+mn-ea"/>
              <a:cs typeface="+mn-cs"/>
            </a:rPr>
            <a:t>Le montant est retiré du compte client → arrive dans le compte de MngConsul (ou ailleurs)</a:t>
          </a:r>
        </a:p>
        <a:p>
          <a:endParaRPr lang="fr-CA" sz="1100"/>
        </a:p>
      </xdr:txBody>
    </xdr:sp>
    <xdr:clientData/>
  </xdr:twoCellAnchor>
  <xdr:twoCellAnchor>
    <xdr:from>
      <xdr:col>0</xdr:col>
      <xdr:colOff>180975</xdr:colOff>
      <xdr:row>28</xdr:row>
      <xdr:rowOff>180974</xdr:rowOff>
    </xdr:from>
    <xdr:to>
      <xdr:col>1</xdr:col>
      <xdr:colOff>3257550</xdr:colOff>
      <xdr:row>46</xdr:row>
      <xdr:rowOff>9525</xdr:rowOff>
    </xdr:to>
    <xdr:sp macro="" textlink="">
      <xdr:nvSpPr>
        <xdr:cNvPr id="5" name="ZoneTexte 4">
          <a:extLst>
            <a:ext uri="{FF2B5EF4-FFF2-40B4-BE49-F238E27FC236}">
              <a16:creationId xmlns:a16="http://schemas.microsoft.com/office/drawing/2014/main" id="{4AF0DDE3-4BDC-44E1-4708-F099C7F8E301}"/>
            </a:ext>
          </a:extLst>
        </xdr:cNvPr>
        <xdr:cNvSpPr txBox="1"/>
      </xdr:nvSpPr>
      <xdr:spPr>
        <a:xfrm>
          <a:off x="180975" y="5943599"/>
          <a:ext cx="5524500" cy="3257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t>MngConsul demande:</a:t>
          </a:r>
        </a:p>
        <a:p>
          <a:r>
            <a:rPr lang="fr-CA" sz="1100"/>
            <a:t>  "Paye 234.56$ à Hydro-Québec (biller ID 12345)</a:t>
          </a:r>
        </a:p>
        <a:p>
          <a:r>
            <a:rPr lang="fr-CA" sz="1100"/>
            <a:t>   pour le compte 1234-5678-9012</a:t>
          </a:r>
        </a:p>
        <a:p>
          <a:r>
            <a:rPr lang="fr-CA" sz="1100"/>
            <a:t>   depuis le compte du client X"</a:t>
          </a:r>
        </a:p>
        <a:p>
          <a:r>
            <a:rPr lang="fr-CA" sz="1100"/>
            <a:t>       ↓</a:t>
          </a:r>
        </a:p>
        <a:p>
          <a:r>
            <a:rPr lang="fr-CA" sz="1100"/>
            <a:t>Flinks valide les paramètres </a:t>
          </a:r>
          <a:r>
            <a:rPr lang="fr-CA" sz="1600" b="1"/>
            <a:t>+ facturier supporté</a:t>
          </a:r>
          <a:endParaRPr lang="fr-CA" sz="1100" b="1"/>
        </a:p>
        <a:p>
          <a:r>
            <a:rPr lang="fr-CA" sz="1100"/>
            <a:t>       ↓</a:t>
          </a:r>
        </a:p>
        <a:p>
          <a:r>
            <a:rPr lang="fr-CA" sz="1100"/>
            <a:t>Initiation via Bill Payment du réseau bancaire</a:t>
          </a:r>
        </a:p>
        <a:p>
          <a:r>
            <a:rPr lang="fr-CA" sz="1100"/>
            <a:t>       ↓</a:t>
          </a:r>
        </a:p>
        <a:p>
          <a:r>
            <a:rPr lang="fr-CA" sz="1100"/>
            <a:t>Hydro-Québec reçoit + applique au compte spécifié</a:t>
          </a:r>
        </a:p>
        <a:p>
          <a:r>
            <a:rPr lang="fr-CA" sz="1100"/>
            <a:t>       ↓</a:t>
          </a:r>
        </a:p>
        <a:p>
          <a:r>
            <a:rPr lang="fr-CA" sz="1100"/>
            <a:t>Confirmation à MngConsul</a:t>
          </a:r>
        </a:p>
        <a:p>
          <a:endParaRPr lang="fr-CA" sz="1100"/>
        </a:p>
        <a:p>
          <a:r>
            <a:rPr lang="fr-CA" sz="1100" b="0" i="0">
              <a:solidFill>
                <a:schemeClr val="dk1"/>
              </a:solidFill>
              <a:effectLst/>
              <a:latin typeface="+mn-lt"/>
              <a:ea typeface="+mn-ea"/>
              <a:cs typeface="+mn-cs"/>
            </a:rPr>
            <a:t>Points d'attention :</a:t>
          </a:r>
        </a:p>
        <a:p>
          <a:r>
            <a:rPr lang="fr-CA" sz="1100" b="0" i="0">
              <a:solidFill>
                <a:schemeClr val="dk1"/>
              </a:solidFill>
              <a:effectLst/>
              <a:latin typeface="+mn-lt"/>
              <a:ea typeface="+mn-ea"/>
              <a:cs typeface="+mn-cs"/>
            </a:rPr>
            <a:t>La couverture exacte des facturiers québécois (Hydro-Québec, Bell, Vidéotron, Énergir, Revenu Québec, villes) doit être validée avec Flinks avant tout engagement</a:t>
          </a:r>
        </a:p>
        <a:p>
          <a:r>
            <a:rPr lang="fr-CA" sz="1100" b="0" i="0">
              <a:solidFill>
                <a:schemeClr val="dk1"/>
              </a:solidFill>
              <a:effectLst/>
              <a:latin typeface="+mn-lt"/>
              <a:ea typeface="+mn-ea"/>
              <a:cs typeface="+mn-cs"/>
            </a:rPr>
            <a:t>Pas tous les facturiers sont supportés — c'est la limitation principale</a:t>
          </a:r>
        </a:p>
        <a:p>
          <a:endParaRPr lang="fr-CA" sz="1100"/>
        </a:p>
      </xdr:txBody>
    </xdr:sp>
    <xdr:clientData/>
  </xdr:twoCellAnchor>
  <xdr:twoCellAnchor>
    <xdr:from>
      <xdr:col>2</xdr:col>
      <xdr:colOff>476250</xdr:colOff>
      <xdr:row>4</xdr:row>
      <xdr:rowOff>133349</xdr:rowOff>
    </xdr:from>
    <xdr:to>
      <xdr:col>11</xdr:col>
      <xdr:colOff>200025</xdr:colOff>
      <xdr:row>18</xdr:row>
      <xdr:rowOff>57149</xdr:rowOff>
    </xdr:to>
    <xdr:sp macro="" textlink="">
      <xdr:nvSpPr>
        <xdr:cNvPr id="6" name="ZoneTexte 5">
          <a:extLst>
            <a:ext uri="{FF2B5EF4-FFF2-40B4-BE49-F238E27FC236}">
              <a16:creationId xmlns:a16="http://schemas.microsoft.com/office/drawing/2014/main" id="{CB4C84F5-90DD-C093-7F0A-4BA8B25323F3}"/>
            </a:ext>
          </a:extLst>
        </xdr:cNvPr>
        <xdr:cNvSpPr txBox="1"/>
      </xdr:nvSpPr>
      <xdr:spPr>
        <a:xfrm>
          <a:off x="7524750" y="971549"/>
          <a:ext cx="6581775" cy="2943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1100"/>
            <a:t>[1] Client connecte son compte via Flinks Connect</a:t>
          </a:r>
        </a:p>
        <a:p>
          <a:r>
            <a:rPr lang="fr-CA" sz="1100"/>
            <a:t>       ↓</a:t>
          </a:r>
        </a:p>
        <a:p>
          <a:r>
            <a:rPr lang="fr-CA" sz="1100"/>
            <a:t>[2] Flinks Capital lit ses transactions (catégorisation auto)</a:t>
          </a:r>
        </a:p>
        <a:p>
          <a:r>
            <a:rPr lang="fr-CA" sz="1100"/>
            <a:t>       ↓</a:t>
          </a:r>
        </a:p>
        <a:p>
          <a:r>
            <a:rPr lang="fr-CA" sz="1100"/>
            <a:t>[3] MngConsul détecte: "Le client paie Hydro 250$/2 mois en moyenne"</a:t>
          </a:r>
        </a:p>
        <a:p>
          <a:r>
            <a:rPr lang="fr-CA" sz="1100"/>
            <a:t>       ↓</a:t>
          </a:r>
        </a:p>
        <a:p>
          <a:r>
            <a:rPr lang="fr-CA" sz="1100"/>
            <a:t>[4] MngConsul propose: "Voulez-vous automatiser ce paiement ?"</a:t>
          </a:r>
        </a:p>
        <a:p>
          <a:r>
            <a:rPr lang="fr-CA" sz="1100"/>
            <a:t>       ↓</a:t>
          </a:r>
        </a:p>
        <a:p>
          <a:r>
            <a:rPr lang="fr-CA" sz="1100"/>
            <a:t>[5] Client accepte → Flinks Pay configure un Bill Payment</a:t>
          </a:r>
        </a:p>
        <a:p>
          <a:r>
            <a:rPr lang="fr-CA" sz="1100"/>
            <a:t>       ↓</a:t>
          </a:r>
        </a:p>
        <a:p>
          <a:r>
            <a:rPr lang="fr-CA" sz="1100"/>
            <a:t>[6] À chaque échéance Hydro:</a:t>
          </a:r>
        </a:p>
        <a:p>
          <a:r>
            <a:rPr lang="fr-CA" sz="1100"/>
            <a:t>    - Flinks Pay initie le paiement</a:t>
          </a:r>
        </a:p>
        <a:p>
          <a:r>
            <a:rPr lang="fr-CA" sz="1100"/>
            <a:t>    - Flinks Capital détecte le débit dans le compte</a:t>
          </a:r>
        </a:p>
        <a:p>
          <a:r>
            <a:rPr lang="fr-CA" sz="1100"/>
            <a:t>    - MngConsul réconcilie automatiquement</a:t>
          </a:r>
        </a:p>
        <a:p>
          <a:r>
            <a:rPr lang="fr-CA" sz="1100"/>
            <a:t>       ↓</a:t>
          </a:r>
        </a:p>
        <a:p>
          <a:r>
            <a:rPr lang="fr-CA" sz="1100"/>
            <a:t>[7] Tableau de bord client: paiement effectué, catégorisé, archivé</a:t>
          </a:r>
        </a:p>
      </xdr:txBody>
    </xdr:sp>
    <xdr:clientData/>
  </xdr:twoCellAnchor>
  <xdr:twoCellAnchor editAs="oneCell">
    <xdr:from>
      <xdr:col>1</xdr:col>
      <xdr:colOff>3381375</xdr:colOff>
      <xdr:row>29</xdr:row>
      <xdr:rowOff>85725</xdr:rowOff>
    </xdr:from>
    <xdr:to>
      <xdr:col>16</xdr:col>
      <xdr:colOff>163607</xdr:colOff>
      <xdr:row>55</xdr:row>
      <xdr:rowOff>38785</xdr:rowOff>
    </xdr:to>
    <xdr:pic>
      <xdr:nvPicPr>
        <xdr:cNvPr id="7" name="Image 6">
          <a:extLst>
            <a:ext uri="{FF2B5EF4-FFF2-40B4-BE49-F238E27FC236}">
              <a16:creationId xmlns:a16="http://schemas.microsoft.com/office/drawing/2014/main" id="{A3FF08B4-6717-2BFE-A9AE-375427D4B4C7}"/>
            </a:ext>
          </a:extLst>
        </xdr:cNvPr>
        <xdr:cNvPicPr>
          <a:picLocks noChangeAspect="1"/>
        </xdr:cNvPicPr>
      </xdr:nvPicPr>
      <xdr:blipFill>
        <a:blip xmlns:r="http://schemas.openxmlformats.org/officeDocument/2006/relationships" r:embed="rId1"/>
        <a:stretch>
          <a:fillRect/>
        </a:stretch>
      </xdr:blipFill>
      <xdr:spPr>
        <a:xfrm>
          <a:off x="5829300" y="6038850"/>
          <a:ext cx="12050807" cy="4906060"/>
        </a:xfrm>
        <a:prstGeom prst="rect">
          <a:avLst/>
        </a:prstGeom>
      </xdr:spPr>
    </xdr:pic>
    <xdr:clientData/>
  </xdr:twoCellAnchor>
  <xdr:twoCellAnchor>
    <xdr:from>
      <xdr:col>8</xdr:col>
      <xdr:colOff>676275</xdr:colOff>
      <xdr:row>20</xdr:row>
      <xdr:rowOff>104775</xdr:rowOff>
    </xdr:from>
    <xdr:to>
      <xdr:col>17</xdr:col>
      <xdr:colOff>190500</xdr:colOff>
      <xdr:row>28</xdr:row>
      <xdr:rowOff>114300</xdr:rowOff>
    </xdr:to>
    <xdr:sp macro="" textlink="">
      <xdr:nvSpPr>
        <xdr:cNvPr id="8" name="ZoneTexte 7">
          <a:extLst>
            <a:ext uri="{FF2B5EF4-FFF2-40B4-BE49-F238E27FC236}">
              <a16:creationId xmlns:a16="http://schemas.microsoft.com/office/drawing/2014/main" id="{E1C1292C-0E35-C26F-8F5B-598F420D555F}"/>
            </a:ext>
          </a:extLst>
        </xdr:cNvPr>
        <xdr:cNvSpPr txBox="1"/>
      </xdr:nvSpPr>
      <xdr:spPr>
        <a:xfrm>
          <a:off x="12296775" y="4343400"/>
          <a:ext cx="6372225"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CA" sz="1100"/>
        </a:p>
      </xdr:txBody>
    </xdr:sp>
    <xdr:clientData/>
  </xdr:twoCellAnchor>
  <xdr:twoCellAnchor editAs="oneCell">
    <xdr:from>
      <xdr:col>0</xdr:col>
      <xdr:colOff>114300</xdr:colOff>
      <xdr:row>55</xdr:row>
      <xdr:rowOff>133350</xdr:rowOff>
    </xdr:from>
    <xdr:to>
      <xdr:col>1</xdr:col>
      <xdr:colOff>4306227</xdr:colOff>
      <xdr:row>78</xdr:row>
      <xdr:rowOff>172067</xdr:rowOff>
    </xdr:to>
    <xdr:pic>
      <xdr:nvPicPr>
        <xdr:cNvPr id="9" name="Image 8">
          <a:extLst>
            <a:ext uri="{FF2B5EF4-FFF2-40B4-BE49-F238E27FC236}">
              <a16:creationId xmlns:a16="http://schemas.microsoft.com/office/drawing/2014/main" id="{292E37A3-D0EB-F76F-A7B1-FCFAE0DF8A4C}"/>
            </a:ext>
          </a:extLst>
        </xdr:cNvPr>
        <xdr:cNvPicPr>
          <a:picLocks noChangeAspect="1"/>
        </xdr:cNvPicPr>
      </xdr:nvPicPr>
      <xdr:blipFill>
        <a:blip xmlns:r="http://schemas.openxmlformats.org/officeDocument/2006/relationships" r:embed="rId2"/>
        <a:stretch>
          <a:fillRect/>
        </a:stretch>
      </xdr:blipFill>
      <xdr:spPr>
        <a:xfrm>
          <a:off x="114300" y="11039475"/>
          <a:ext cx="6639852" cy="4420217"/>
        </a:xfrm>
        <a:prstGeom prst="rect">
          <a:avLst/>
        </a:prstGeom>
      </xdr:spPr>
    </xdr:pic>
    <xdr:clientData/>
  </xdr:twoCellAnchor>
  <xdr:twoCellAnchor editAs="oneCell">
    <xdr:from>
      <xdr:col>1</xdr:col>
      <xdr:colOff>4533900</xdr:colOff>
      <xdr:row>56</xdr:row>
      <xdr:rowOff>95250</xdr:rowOff>
    </xdr:from>
    <xdr:to>
      <xdr:col>17</xdr:col>
      <xdr:colOff>344552</xdr:colOff>
      <xdr:row>79</xdr:row>
      <xdr:rowOff>67283</xdr:rowOff>
    </xdr:to>
    <xdr:pic>
      <xdr:nvPicPr>
        <xdr:cNvPr id="10" name="Image 9">
          <a:extLst>
            <a:ext uri="{FF2B5EF4-FFF2-40B4-BE49-F238E27FC236}">
              <a16:creationId xmlns:a16="http://schemas.microsoft.com/office/drawing/2014/main" id="{7E971A73-308A-081F-39EE-A06E76B81772}"/>
            </a:ext>
          </a:extLst>
        </xdr:cNvPr>
        <xdr:cNvPicPr>
          <a:picLocks noChangeAspect="1"/>
        </xdr:cNvPicPr>
      </xdr:nvPicPr>
      <xdr:blipFill>
        <a:blip xmlns:r="http://schemas.openxmlformats.org/officeDocument/2006/relationships" r:embed="rId3"/>
        <a:stretch>
          <a:fillRect/>
        </a:stretch>
      </xdr:blipFill>
      <xdr:spPr>
        <a:xfrm>
          <a:off x="6981825" y="11191875"/>
          <a:ext cx="11841227" cy="43535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2</xdr:row>
      <xdr:rowOff>66675</xdr:rowOff>
    </xdr:from>
    <xdr:to>
      <xdr:col>8</xdr:col>
      <xdr:colOff>705785</xdr:colOff>
      <xdr:row>20</xdr:row>
      <xdr:rowOff>95733</xdr:rowOff>
    </xdr:to>
    <xdr:pic>
      <xdr:nvPicPr>
        <xdr:cNvPr id="3" name="Image 2">
          <a:extLst>
            <a:ext uri="{FF2B5EF4-FFF2-40B4-BE49-F238E27FC236}">
              <a16:creationId xmlns:a16="http://schemas.microsoft.com/office/drawing/2014/main" id="{BDD80E93-9804-8F3E-DAB7-F9A25544EF11}"/>
            </a:ext>
          </a:extLst>
        </xdr:cNvPr>
        <xdr:cNvPicPr>
          <a:picLocks noChangeAspect="1"/>
        </xdr:cNvPicPr>
      </xdr:nvPicPr>
      <xdr:blipFill>
        <a:blip xmlns:r="http://schemas.openxmlformats.org/officeDocument/2006/relationships" r:embed="rId1"/>
        <a:stretch>
          <a:fillRect/>
        </a:stretch>
      </xdr:blipFill>
      <xdr:spPr>
        <a:xfrm>
          <a:off x="104775" y="495300"/>
          <a:ext cx="6697010" cy="3458058"/>
        </a:xfrm>
        <a:prstGeom prst="rect">
          <a:avLst/>
        </a:prstGeom>
      </xdr:spPr>
    </xdr:pic>
    <xdr:clientData/>
  </xdr:twoCellAnchor>
  <xdr:twoCellAnchor editAs="oneCell">
    <xdr:from>
      <xdr:col>0</xdr:col>
      <xdr:colOff>0</xdr:colOff>
      <xdr:row>20</xdr:row>
      <xdr:rowOff>142875</xdr:rowOff>
    </xdr:from>
    <xdr:to>
      <xdr:col>14</xdr:col>
      <xdr:colOff>77700</xdr:colOff>
      <xdr:row>50</xdr:row>
      <xdr:rowOff>124620</xdr:rowOff>
    </xdr:to>
    <xdr:pic>
      <xdr:nvPicPr>
        <xdr:cNvPr id="4" name="Image 3">
          <a:extLst>
            <a:ext uri="{FF2B5EF4-FFF2-40B4-BE49-F238E27FC236}">
              <a16:creationId xmlns:a16="http://schemas.microsoft.com/office/drawing/2014/main" id="{13FF1C0C-5D2F-9257-5398-38E24F7F2BA3}"/>
            </a:ext>
          </a:extLst>
        </xdr:cNvPr>
        <xdr:cNvPicPr>
          <a:picLocks noChangeAspect="1"/>
        </xdr:cNvPicPr>
      </xdr:nvPicPr>
      <xdr:blipFill>
        <a:blip xmlns:r="http://schemas.openxmlformats.org/officeDocument/2006/relationships" r:embed="rId2"/>
        <a:stretch>
          <a:fillRect/>
        </a:stretch>
      </xdr:blipFill>
      <xdr:spPr>
        <a:xfrm>
          <a:off x="0" y="4000500"/>
          <a:ext cx="10745700" cy="5696745"/>
        </a:xfrm>
        <a:prstGeom prst="rect">
          <a:avLst/>
        </a:prstGeom>
      </xdr:spPr>
    </xdr:pic>
    <xdr:clientData/>
  </xdr:twoCellAnchor>
  <xdr:twoCellAnchor editAs="oneCell">
    <xdr:from>
      <xdr:col>0</xdr:col>
      <xdr:colOff>257175</xdr:colOff>
      <xdr:row>51</xdr:row>
      <xdr:rowOff>180975</xdr:rowOff>
    </xdr:from>
    <xdr:to>
      <xdr:col>15</xdr:col>
      <xdr:colOff>182560</xdr:colOff>
      <xdr:row>71</xdr:row>
      <xdr:rowOff>10033</xdr:rowOff>
    </xdr:to>
    <xdr:pic>
      <xdr:nvPicPr>
        <xdr:cNvPr id="5" name="Image 4">
          <a:extLst>
            <a:ext uri="{FF2B5EF4-FFF2-40B4-BE49-F238E27FC236}">
              <a16:creationId xmlns:a16="http://schemas.microsoft.com/office/drawing/2014/main" id="{EFC01D89-1870-0592-6B49-B1ED2663CAFE}"/>
            </a:ext>
          </a:extLst>
        </xdr:cNvPr>
        <xdr:cNvPicPr>
          <a:picLocks noChangeAspect="1"/>
        </xdr:cNvPicPr>
      </xdr:nvPicPr>
      <xdr:blipFill>
        <a:blip xmlns:r="http://schemas.openxmlformats.org/officeDocument/2006/relationships" r:embed="rId3"/>
        <a:stretch>
          <a:fillRect/>
        </a:stretch>
      </xdr:blipFill>
      <xdr:spPr>
        <a:xfrm>
          <a:off x="257175" y="9944100"/>
          <a:ext cx="11355385" cy="3639058"/>
        </a:xfrm>
        <a:prstGeom prst="rect">
          <a:avLst/>
        </a:prstGeom>
      </xdr:spPr>
    </xdr:pic>
    <xdr:clientData/>
  </xdr:twoCellAnchor>
  <xdr:twoCellAnchor editAs="oneCell">
    <xdr:from>
      <xdr:col>0</xdr:col>
      <xdr:colOff>19050</xdr:colOff>
      <xdr:row>71</xdr:row>
      <xdr:rowOff>95250</xdr:rowOff>
    </xdr:from>
    <xdr:to>
      <xdr:col>15</xdr:col>
      <xdr:colOff>535067</xdr:colOff>
      <xdr:row>92</xdr:row>
      <xdr:rowOff>38650</xdr:rowOff>
    </xdr:to>
    <xdr:pic>
      <xdr:nvPicPr>
        <xdr:cNvPr id="6" name="Image 5">
          <a:extLst>
            <a:ext uri="{FF2B5EF4-FFF2-40B4-BE49-F238E27FC236}">
              <a16:creationId xmlns:a16="http://schemas.microsoft.com/office/drawing/2014/main" id="{D1DC73C8-DDCA-EDBD-7E94-06236646FBD6}"/>
            </a:ext>
          </a:extLst>
        </xdr:cNvPr>
        <xdr:cNvPicPr>
          <a:picLocks noChangeAspect="1"/>
        </xdr:cNvPicPr>
      </xdr:nvPicPr>
      <xdr:blipFill>
        <a:blip xmlns:r="http://schemas.openxmlformats.org/officeDocument/2006/relationships" r:embed="rId4"/>
        <a:stretch>
          <a:fillRect/>
        </a:stretch>
      </xdr:blipFill>
      <xdr:spPr>
        <a:xfrm>
          <a:off x="19050" y="13668375"/>
          <a:ext cx="11946017" cy="3943900"/>
        </a:xfrm>
        <a:prstGeom prst="rect">
          <a:avLst/>
        </a:prstGeom>
      </xdr:spPr>
    </xdr:pic>
    <xdr:clientData/>
  </xdr:twoCellAnchor>
  <xdr:twoCellAnchor editAs="oneCell">
    <xdr:from>
      <xdr:col>0</xdr:col>
      <xdr:colOff>523875</xdr:colOff>
      <xdr:row>93</xdr:row>
      <xdr:rowOff>66675</xdr:rowOff>
    </xdr:from>
    <xdr:to>
      <xdr:col>15</xdr:col>
      <xdr:colOff>420681</xdr:colOff>
      <xdr:row>102</xdr:row>
      <xdr:rowOff>28809</xdr:rowOff>
    </xdr:to>
    <xdr:pic>
      <xdr:nvPicPr>
        <xdr:cNvPr id="7" name="Image 6">
          <a:extLst>
            <a:ext uri="{FF2B5EF4-FFF2-40B4-BE49-F238E27FC236}">
              <a16:creationId xmlns:a16="http://schemas.microsoft.com/office/drawing/2014/main" id="{40C9CA67-8406-24A5-2890-893F7F748F80}"/>
            </a:ext>
          </a:extLst>
        </xdr:cNvPr>
        <xdr:cNvPicPr>
          <a:picLocks noChangeAspect="1"/>
        </xdr:cNvPicPr>
      </xdr:nvPicPr>
      <xdr:blipFill>
        <a:blip xmlns:r="http://schemas.openxmlformats.org/officeDocument/2006/relationships" r:embed="rId5"/>
        <a:stretch>
          <a:fillRect/>
        </a:stretch>
      </xdr:blipFill>
      <xdr:spPr>
        <a:xfrm>
          <a:off x="523875" y="17830800"/>
          <a:ext cx="11326806" cy="167663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22"/>
  <sheetViews>
    <sheetView showGridLines="0" zoomScaleNormal="100" workbookViewId="0">
      <selection activeCell="M23" sqref="M23"/>
    </sheetView>
  </sheetViews>
  <sheetFormatPr baseColWidth="10" defaultColWidth="8.7109375" defaultRowHeight="15" x14ac:dyDescent="0.25"/>
  <cols>
    <col min="1" max="1" width="2" customWidth="1"/>
    <col min="2" max="4" width="14" customWidth="1"/>
    <col min="5" max="5" width="3" customWidth="1"/>
    <col min="6" max="8" width="14" customWidth="1"/>
    <col min="9" max="9" width="2" customWidth="1"/>
  </cols>
  <sheetData>
    <row r="1" spans="2:8" ht="12" customHeight="1" x14ac:dyDescent="0.25"/>
    <row r="2" spans="2:8" ht="21.75" customHeight="1" x14ac:dyDescent="0.25">
      <c r="B2" s="54" t="s">
        <v>0</v>
      </c>
      <c r="C2" s="54"/>
      <c r="D2" s="54"/>
      <c r="E2" s="54"/>
      <c r="F2" s="54"/>
      <c r="G2" s="54"/>
      <c r="H2" s="54"/>
    </row>
    <row r="3" spans="2:8" ht="37.5" customHeight="1" x14ac:dyDescent="0.25">
      <c r="B3" s="55" t="s">
        <v>1</v>
      </c>
      <c r="C3" s="55"/>
      <c r="D3" s="55"/>
      <c r="E3" s="55"/>
      <c r="F3" s="55"/>
      <c r="G3" s="55"/>
      <c r="H3" s="55"/>
    </row>
    <row r="4" spans="2:8" ht="21.75" customHeight="1" x14ac:dyDescent="0.25">
      <c r="B4" s="56" t="s">
        <v>2</v>
      </c>
      <c r="C4" s="56"/>
      <c r="D4" s="56"/>
      <c r="E4" s="56"/>
      <c r="F4" s="56"/>
      <c r="G4" s="56"/>
      <c r="H4" s="56"/>
    </row>
    <row r="5" spans="2:8" ht="15.75" customHeight="1" x14ac:dyDescent="0.25"/>
    <row r="6" spans="2:8" ht="31.5" customHeight="1" x14ac:dyDescent="0.25">
      <c r="B6" s="57" t="s">
        <v>3</v>
      </c>
      <c r="C6" s="57"/>
      <c r="D6" s="57"/>
      <c r="F6" s="58" t="s">
        <v>4</v>
      </c>
      <c r="G6" s="58"/>
      <c r="H6" s="58"/>
    </row>
    <row r="7" spans="2:8" ht="7.5" customHeight="1" x14ac:dyDescent="0.25"/>
    <row r="8" spans="2:8" ht="12" customHeight="1" x14ac:dyDescent="0.25"/>
    <row r="9" spans="2:8" ht="60" customHeight="1" x14ac:dyDescent="0.25">
      <c r="B9" s="59">
        <f>AVERAGEIF(Modules!H5:H36,"✓ Oui",Modules!D5:D36)</f>
        <v>0.91799999999999993</v>
      </c>
      <c r="C9" s="59"/>
      <c r="D9" s="59"/>
      <c r="F9" s="60">
        <f>AVERAGEIF(Modules!I5:I36,"✓ Oui",Modules!D5:D36)</f>
        <v>0.77499999999999991</v>
      </c>
      <c r="G9" s="60"/>
      <c r="H9" s="60"/>
    </row>
    <row r="10" spans="2:8" ht="24" customHeight="1" x14ac:dyDescent="0.25">
      <c r="B10" s="61" t="s">
        <v>5</v>
      </c>
      <c r="C10" s="61"/>
      <c r="D10" s="61"/>
      <c r="F10" s="62" t="s">
        <v>5</v>
      </c>
      <c r="G10" s="62"/>
      <c r="H10" s="62"/>
    </row>
    <row r="11" spans="2:8" ht="12" customHeight="1" x14ac:dyDescent="0.25">
      <c r="B11" s="1"/>
      <c r="C11" s="2"/>
      <c r="D11" s="3"/>
      <c r="F11" s="4"/>
      <c r="G11" s="2"/>
      <c r="H11" s="3"/>
    </row>
    <row r="12" spans="2:8" ht="13.5" customHeight="1" x14ac:dyDescent="0.25"/>
    <row r="13" spans="2:8" ht="36" customHeight="1" x14ac:dyDescent="0.25">
      <c r="B13" s="5">
        <f>COUNTIF(Modules!H5:H36,"✓ Oui")</f>
        <v>25</v>
      </c>
      <c r="C13" s="5">
        <f>COUNTIFS(Modules!H5:H36,"✓ Oui",Modules!D5:D36,1)</f>
        <v>12</v>
      </c>
      <c r="D13" s="6" t="str">
        <f>SUMIF(Modules!H5:H36,"✓ Oui",Modules!F5:F36)&amp;" j"</f>
        <v>4,4 j</v>
      </c>
      <c r="F13" s="7">
        <f>COUNTIF(Modules!I5:I36,"✓ Oui")</f>
        <v>32</v>
      </c>
      <c r="G13" s="5">
        <f>COUNTIFS(Modules!I5:I36,"✓ Oui",Modules!D5:D36,1)</f>
        <v>12</v>
      </c>
      <c r="H13" s="6" t="str">
        <f>SUMIF(Modules!I5:I36,"✓ Oui",Modules!F5:F36)&amp;" j"</f>
        <v>19,475 j</v>
      </c>
    </row>
    <row r="14" spans="2:8" ht="21.75" customHeight="1" x14ac:dyDescent="0.25">
      <c r="B14" s="8" t="s">
        <v>6</v>
      </c>
      <c r="C14" s="8" t="s">
        <v>7</v>
      </c>
      <c r="D14" s="8" t="s">
        <v>8</v>
      </c>
      <c r="F14" s="8" t="s">
        <v>6</v>
      </c>
      <c r="G14" s="8" t="s">
        <v>7</v>
      </c>
      <c r="H14" s="8" t="s">
        <v>8</v>
      </c>
    </row>
    <row r="15" spans="2:8" ht="12" customHeight="1" x14ac:dyDescent="0.25"/>
    <row r="16" spans="2:8" ht="24" customHeight="1" x14ac:dyDescent="0.25">
      <c r="B16" s="63" t="s">
        <v>9</v>
      </c>
      <c r="C16" s="63"/>
      <c r="D16" s="63"/>
      <c r="F16" s="63" t="s">
        <v>9</v>
      </c>
      <c r="G16" s="63"/>
      <c r="H16" s="63"/>
    </row>
    <row r="17" spans="2:8" ht="24" customHeight="1" x14ac:dyDescent="0.25">
      <c r="B17" s="65" t="s">
        <v>7</v>
      </c>
      <c r="C17" s="65"/>
      <c r="D17" s="9">
        <f>COUNTIFS(Modules!H5:H36,"✓ Oui",Modules!D5:D36,1)</f>
        <v>12</v>
      </c>
      <c r="F17" s="65" t="s">
        <v>7</v>
      </c>
      <c r="G17" s="65"/>
      <c r="H17" s="9">
        <f>COUNTIFS(Modules!I5:I36,"✓ Oui",Modules!D5:D36,1)</f>
        <v>12</v>
      </c>
    </row>
    <row r="18" spans="2:8" ht="24" customHeight="1" x14ac:dyDescent="0.25">
      <c r="B18" s="66" t="s">
        <v>10</v>
      </c>
      <c r="C18" s="66"/>
      <c r="D18" s="10">
        <f>COUNTIFS(Modules!H5:H36,"✓ Oui",Modules!D5:D36,"&gt;0",Modules!D5:D36,"&lt;1")</f>
        <v>13</v>
      </c>
      <c r="F18" s="66" t="s">
        <v>10</v>
      </c>
      <c r="G18" s="66"/>
      <c r="H18" s="10">
        <f>COUNTIFS(Modules!I5:I36,"✓ Oui",Modules!D5:D36,"&gt;0",Modules!D5:D36,"&lt;1")</f>
        <v>15</v>
      </c>
    </row>
    <row r="19" spans="2:8" ht="24" customHeight="1" x14ac:dyDescent="0.25">
      <c r="B19" s="67" t="s">
        <v>11</v>
      </c>
      <c r="C19" s="67"/>
      <c r="D19" s="9">
        <f>COUNTIFS(Modules!H5:H36,"✓ Oui",Modules!D5:D36,0)</f>
        <v>0</v>
      </c>
      <c r="F19" s="67" t="s">
        <v>11</v>
      </c>
      <c r="G19" s="67"/>
      <c r="H19" s="9">
        <f>COUNTIFS(Modules!I5:I36,"✓ Oui",Modules!D5:D36,0)</f>
        <v>5</v>
      </c>
    </row>
    <row r="20" spans="2:8" ht="15.75" customHeight="1" x14ac:dyDescent="0.25"/>
    <row r="21" spans="2:8" ht="24" customHeight="1" x14ac:dyDescent="0.25">
      <c r="B21" s="64" t="s">
        <v>12</v>
      </c>
      <c r="C21" s="64"/>
      <c r="D21" s="64"/>
      <c r="E21" s="64"/>
      <c r="F21" s="64"/>
      <c r="G21" s="64"/>
      <c r="H21" s="64"/>
    </row>
    <row r="22" spans="2:8" ht="21.75" customHeight="1" x14ac:dyDescent="0.25">
      <c r="B22" s="64" t="s">
        <v>13</v>
      </c>
      <c r="C22" s="64"/>
      <c r="D22" s="64"/>
      <c r="E22" s="64"/>
      <c r="F22" s="64"/>
      <c r="G22" s="64"/>
      <c r="H22" s="64"/>
    </row>
  </sheetData>
  <mergeCells count="19">
    <mergeCell ref="B21:H21"/>
    <mergeCell ref="B22:H22"/>
    <mergeCell ref="B17:C17"/>
    <mergeCell ref="F17:G17"/>
    <mergeCell ref="B18:C18"/>
    <mergeCell ref="F18:G18"/>
    <mergeCell ref="B19:C19"/>
    <mergeCell ref="F19:G19"/>
    <mergeCell ref="B9:D9"/>
    <mergeCell ref="F9:H9"/>
    <mergeCell ref="B10:D10"/>
    <mergeCell ref="F10:H10"/>
    <mergeCell ref="B16:D16"/>
    <mergeCell ref="F16:H16"/>
    <mergeCell ref="B2:H2"/>
    <mergeCell ref="B3:H3"/>
    <mergeCell ref="B4:H4"/>
    <mergeCell ref="B6:D6"/>
    <mergeCell ref="F6:H6"/>
  </mergeCells>
  <printOptions horizontalCentered="1"/>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32"/>
  <sheetViews>
    <sheetView showGridLines="0" zoomScale="80" zoomScaleNormal="80" workbookViewId="0">
      <pane xSplit="1" ySplit="6" topLeftCell="B13" activePane="bottomRight" state="frozen"/>
      <selection pane="topRight" activeCell="B1" sqref="B1"/>
      <selection pane="bottomLeft" activeCell="A13" sqref="A13"/>
      <selection pane="bottomRight" activeCell="G32" sqref="G32"/>
    </sheetView>
  </sheetViews>
  <sheetFormatPr baseColWidth="10" defaultColWidth="8.7109375" defaultRowHeight="15" x14ac:dyDescent="0.25"/>
  <cols>
    <col min="1" max="1" width="2" customWidth="1"/>
    <col min="2" max="2" width="6" customWidth="1"/>
    <col min="3" max="3" width="42" customWidth="1"/>
    <col min="4" max="8" width="16" customWidth="1"/>
    <col min="9" max="9" width="2" customWidth="1"/>
  </cols>
  <sheetData>
    <row r="1" spans="2:8" ht="12" customHeight="1" x14ac:dyDescent="0.25"/>
    <row r="2" spans="2:8" ht="21.75" customHeight="1" x14ac:dyDescent="0.25">
      <c r="B2" s="68" t="s">
        <v>14</v>
      </c>
      <c r="C2" s="68"/>
      <c r="D2" s="68"/>
      <c r="E2" s="68"/>
      <c r="F2" s="68"/>
      <c r="G2" s="68"/>
      <c r="H2" s="68"/>
    </row>
    <row r="3" spans="2:8" ht="37.5" customHeight="1" x14ac:dyDescent="0.25">
      <c r="B3" s="69" t="s">
        <v>15</v>
      </c>
      <c r="C3" s="69"/>
      <c r="D3" s="69"/>
      <c r="E3" s="69"/>
      <c r="F3" s="69"/>
      <c r="G3" s="69"/>
      <c r="H3" s="69"/>
    </row>
    <row r="4" spans="2:8" ht="21.75" customHeight="1" x14ac:dyDescent="0.25">
      <c r="B4" s="70" t="s">
        <v>16</v>
      </c>
      <c r="C4" s="70"/>
      <c r="D4" s="70"/>
      <c r="E4" s="70"/>
      <c r="F4" s="70"/>
      <c r="G4" s="70"/>
      <c r="H4" s="70"/>
    </row>
    <row r="5" spans="2:8" ht="13.5" customHeight="1" x14ac:dyDescent="0.25"/>
    <row r="6" spans="2:8" ht="30" customHeight="1" x14ac:dyDescent="0.25">
      <c r="B6" s="11" t="s">
        <v>17</v>
      </c>
      <c r="C6" s="11" t="s">
        <v>18</v>
      </c>
      <c r="D6" s="11" t="s">
        <v>19</v>
      </c>
      <c r="E6" s="11" t="s">
        <v>320</v>
      </c>
      <c r="F6" s="11" t="s">
        <v>8</v>
      </c>
      <c r="G6" s="11" t="s">
        <v>20</v>
      </c>
      <c r="H6" s="11" t="s">
        <v>21</v>
      </c>
    </row>
    <row r="7" spans="2:8" ht="21.75" customHeight="1" x14ac:dyDescent="0.25">
      <c r="B7" s="12">
        <v>1</v>
      </c>
      <c r="C7" s="13" t="s">
        <v>22</v>
      </c>
      <c r="D7" s="14">
        <f>IFERROR(VLOOKUP(C7,Modules!$C$5:$G$36,2,FALSE()),0)</f>
        <v>0.9</v>
      </c>
      <c r="E7" s="14">
        <f>IFERROR(VLOOKUP(C7,Modules!$C$5:$G$36,3,FALSE()),0)</f>
        <v>0</v>
      </c>
      <c r="F7" s="15">
        <f>IFERROR(VLOOKUP(C7,Modules!$C$5:$G$36,3,FALSE()),0)</f>
        <v>0</v>
      </c>
      <c r="G7" s="15">
        <f>IFERROR(VLOOKUP(C7,Modules!$C$5:$G$36,4,FALSE()),0)</f>
        <v>4.9999999999999989E-2</v>
      </c>
      <c r="H7" s="16" t="str">
        <f t="shared" ref="H7:H31" si="0">IF(D7=1,"Complété",IF(D7=0,"À faire","En cours"))</f>
        <v>En cours</v>
      </c>
    </row>
    <row r="8" spans="2:8" ht="21.75" customHeight="1" x14ac:dyDescent="0.25">
      <c r="B8" s="17">
        <v>2</v>
      </c>
      <c r="C8" s="18" t="s">
        <v>23</v>
      </c>
      <c r="D8" s="19">
        <f>IFERROR(VLOOKUP(C8,Modules!$C$5:$G$36,2,FALSE()),0)</f>
        <v>1</v>
      </c>
      <c r="E8" s="19">
        <f>IFERROR(VLOOKUP(C8,Modules!$C$5:$G$36,3,FALSE()),0)</f>
        <v>0</v>
      </c>
      <c r="F8" s="20">
        <f>IFERROR(VLOOKUP(C8,Modules!$C$5:$G$36,3,FALSE()),0)</f>
        <v>0</v>
      </c>
      <c r="G8" s="20">
        <f>IFERROR(VLOOKUP(C8,Modules!$C$5:$G$36,4,FALSE()),0)</f>
        <v>0</v>
      </c>
      <c r="H8" s="21" t="str">
        <f t="shared" si="0"/>
        <v>Complété</v>
      </c>
    </row>
    <row r="9" spans="2:8" ht="21.75" customHeight="1" x14ac:dyDescent="0.25">
      <c r="B9" s="12">
        <v>3</v>
      </c>
      <c r="C9" s="13" t="s">
        <v>24</v>
      </c>
      <c r="D9" s="14">
        <f>IFERROR(VLOOKUP(C9,Modules!$C$5:$G$36,2,FALSE()),0)</f>
        <v>0.9</v>
      </c>
      <c r="E9" s="14">
        <f>IFERROR(VLOOKUP(C9,Modules!$C$5:$G$36,3,FALSE()),0)</f>
        <v>0</v>
      </c>
      <c r="F9" s="15">
        <f>IFERROR(VLOOKUP(C9,Modules!$C$5:$G$36,3,FALSE()),0)</f>
        <v>0</v>
      </c>
      <c r="G9" s="15">
        <f>IFERROR(VLOOKUP(C9,Modules!$C$5:$G$36,4,FALSE()),0)</f>
        <v>4.9999999999999989E-2</v>
      </c>
      <c r="H9" s="16" t="str">
        <f t="shared" si="0"/>
        <v>En cours</v>
      </c>
    </row>
    <row r="10" spans="2:8" ht="21.75" customHeight="1" x14ac:dyDescent="0.25">
      <c r="B10" s="17">
        <v>4</v>
      </c>
      <c r="C10" s="18" t="s">
        <v>25</v>
      </c>
      <c r="D10" s="19">
        <f>IFERROR(VLOOKUP(C10,Modules!$C$5:$G$36,2,FALSE()),0)</f>
        <v>1</v>
      </c>
      <c r="E10" s="19">
        <f>IFERROR(VLOOKUP(C10,Modules!$C$5:$G$36,3,FALSE()),0)</f>
        <v>0</v>
      </c>
      <c r="F10" s="20">
        <f>IFERROR(VLOOKUP(C10,Modules!$C$5:$G$36,3,FALSE()),0)</f>
        <v>0</v>
      </c>
      <c r="G10" s="20">
        <f>IFERROR(VLOOKUP(C10,Modules!$C$5:$G$36,4,FALSE()),0)</f>
        <v>0</v>
      </c>
      <c r="H10" s="21" t="str">
        <f t="shared" si="0"/>
        <v>Complété</v>
      </c>
    </row>
    <row r="11" spans="2:8" ht="21.75" customHeight="1" x14ac:dyDescent="0.25">
      <c r="B11" s="12">
        <v>5</v>
      </c>
      <c r="C11" s="13" t="s">
        <v>26</v>
      </c>
      <c r="D11" s="14">
        <f>IFERROR(VLOOKUP(C11,Modules!$C$5:$G$36,2,FALSE()),0)</f>
        <v>1</v>
      </c>
      <c r="E11" s="14">
        <f>IFERROR(VLOOKUP(C11,Modules!$C$5:$G$36,3,FALSE()),0)</f>
        <v>0</v>
      </c>
      <c r="F11" s="15">
        <f>IFERROR(VLOOKUP(C11,Modules!$C$5:$G$36,3,FALSE()),0)</f>
        <v>0</v>
      </c>
      <c r="G11" s="15">
        <f>IFERROR(VLOOKUP(C11,Modules!$C$5:$G$36,4,FALSE()),0)</f>
        <v>0</v>
      </c>
      <c r="H11" s="16" t="str">
        <f t="shared" si="0"/>
        <v>Complété</v>
      </c>
    </row>
    <row r="12" spans="2:8" ht="21.75" customHeight="1" x14ac:dyDescent="0.25">
      <c r="B12" s="17">
        <v>6</v>
      </c>
      <c r="C12" s="18" t="s">
        <v>27</v>
      </c>
      <c r="D12" s="19">
        <f>IFERROR(VLOOKUP(C12,Modules!$C$5:$G$36,2,FALSE()),0)</f>
        <v>1</v>
      </c>
      <c r="E12" s="19">
        <f>IFERROR(VLOOKUP(C12,Modules!$C$5:$G$36,3,FALSE()),0)</f>
        <v>0</v>
      </c>
      <c r="F12" s="20">
        <f>IFERROR(VLOOKUP(C12,Modules!$C$5:$G$36,3,FALSE()),0)</f>
        <v>0</v>
      </c>
      <c r="G12" s="20">
        <f>IFERROR(VLOOKUP(C12,Modules!$C$5:$G$36,4,FALSE()),0)</f>
        <v>0</v>
      </c>
      <c r="H12" s="21" t="str">
        <f t="shared" si="0"/>
        <v>Complété</v>
      </c>
    </row>
    <row r="13" spans="2:8" ht="21.75" customHeight="1" x14ac:dyDescent="0.25">
      <c r="B13" s="12">
        <v>7</v>
      </c>
      <c r="C13" s="13" t="s">
        <v>28</v>
      </c>
      <c r="D13" s="14">
        <f>IFERROR(VLOOKUP(C13,Modules!$C$5:$G$36,2,FALSE()),0)</f>
        <v>1</v>
      </c>
      <c r="E13" s="14">
        <f>IFERROR(VLOOKUP(C13,Modules!$C$5:$G$36,3,FALSE()),0)</f>
        <v>0</v>
      </c>
      <c r="F13" s="15">
        <f>IFERROR(VLOOKUP(C13,Modules!$C$5:$G$36,3,FALSE()),0)</f>
        <v>0</v>
      </c>
      <c r="G13" s="15">
        <f>IFERROR(VLOOKUP(C13,Modules!$C$5:$G$36,4,FALSE()),0)</f>
        <v>0</v>
      </c>
      <c r="H13" s="16" t="str">
        <f t="shared" si="0"/>
        <v>Complété</v>
      </c>
    </row>
    <row r="14" spans="2:8" ht="21.75" customHeight="1" x14ac:dyDescent="0.25">
      <c r="B14" s="17">
        <v>8</v>
      </c>
      <c r="C14" s="18" t="s">
        <v>29</v>
      </c>
      <c r="D14" s="19">
        <f>IFERROR(VLOOKUP(C14,Modules!$C$5:$G$36,2,FALSE()),0)</f>
        <v>1</v>
      </c>
      <c r="E14" s="19">
        <f>IFERROR(VLOOKUP(C14,Modules!$C$5:$G$36,3,FALSE()),0)</f>
        <v>0</v>
      </c>
      <c r="F14" s="15">
        <f>IFERROR(VLOOKUP(C14,Modules!$C$5:$G$36,3,FALSE()),0)</f>
        <v>0</v>
      </c>
      <c r="G14" s="20">
        <f>IFERROR(VLOOKUP(C14,Modules!$C$5:$G$36,4,FALSE()),0)</f>
        <v>0</v>
      </c>
      <c r="H14" s="21" t="str">
        <f t="shared" si="0"/>
        <v>Complété</v>
      </c>
    </row>
    <row r="15" spans="2:8" ht="21.75" customHeight="1" x14ac:dyDescent="0.25">
      <c r="B15" s="12">
        <v>9</v>
      </c>
      <c r="C15" s="13" t="s">
        <v>30</v>
      </c>
      <c r="D15" s="14">
        <f>IFERROR(VLOOKUP(C15,Modules!$C$5:$G$36,2,FALSE()),0)</f>
        <v>1</v>
      </c>
      <c r="E15" s="14">
        <f>IFERROR(VLOOKUP(C15,Modules!$C$5:$G$36,3,FALSE()),0)</f>
        <v>0</v>
      </c>
      <c r="F15" s="15">
        <f>IFERROR(VLOOKUP(C15,Modules!$C$5:$G$36,3,FALSE()),0)</f>
        <v>0</v>
      </c>
      <c r="G15" s="15">
        <f>IFERROR(VLOOKUP(C15,Modules!$C$5:$G$36,4,FALSE()),0)</f>
        <v>0</v>
      </c>
      <c r="H15" s="16" t="str">
        <f t="shared" si="0"/>
        <v>Complété</v>
      </c>
    </row>
    <row r="16" spans="2:8" ht="21.75" customHeight="1" x14ac:dyDescent="0.25">
      <c r="B16" s="17">
        <v>10</v>
      </c>
      <c r="C16" s="18" t="s">
        <v>31</v>
      </c>
      <c r="D16" s="19">
        <f>IFERROR(VLOOKUP(C16,Modules!$C$5:$G$36,2,FALSE()),0)</f>
        <v>1</v>
      </c>
      <c r="E16" s="19">
        <f>IFERROR(VLOOKUP(C16,Modules!$C$5:$G$36,3,FALSE()),0)</f>
        <v>0</v>
      </c>
      <c r="F16" s="15">
        <f>IFERROR(VLOOKUP(C16,Modules!$C$5:$G$36,3,FALSE()),0)</f>
        <v>0</v>
      </c>
      <c r="G16" s="20">
        <f>IFERROR(VLOOKUP(C16,Modules!$C$5:$G$36,4,FALSE()),0)</f>
        <v>0</v>
      </c>
      <c r="H16" s="21" t="str">
        <f t="shared" si="0"/>
        <v>Complété</v>
      </c>
    </row>
    <row r="17" spans="2:8" ht="21.75" customHeight="1" x14ac:dyDescent="0.25">
      <c r="B17" s="12">
        <v>11</v>
      </c>
      <c r="C17" s="13" t="s">
        <v>32</v>
      </c>
      <c r="D17" s="14">
        <f>IFERROR(VLOOKUP(C17,Modules!$C$5:$G$36,2,FALSE()),0)</f>
        <v>1</v>
      </c>
      <c r="E17" s="14">
        <f>IFERROR(VLOOKUP(C17,Modules!$C$5:$G$36,3,FALSE()),0)</f>
        <v>0</v>
      </c>
      <c r="F17" s="15">
        <f>IFERROR(VLOOKUP(C17,Modules!$C$5:$G$36,3,FALSE()),0)</f>
        <v>0</v>
      </c>
      <c r="G17" s="15">
        <f>IFERROR(VLOOKUP(C17,Modules!$C$5:$G$36,4,FALSE()),0)</f>
        <v>0</v>
      </c>
      <c r="H17" s="16" t="str">
        <f t="shared" si="0"/>
        <v>Complété</v>
      </c>
    </row>
    <row r="18" spans="2:8" ht="21.75" customHeight="1" x14ac:dyDescent="0.25">
      <c r="B18" s="17">
        <v>12</v>
      </c>
      <c r="C18" s="18" t="s">
        <v>33</v>
      </c>
      <c r="D18" s="19">
        <f>IFERROR(VLOOKUP(C18,Modules!$C$5:$G$36,2,FALSE()),0)</f>
        <v>0.9</v>
      </c>
      <c r="E18" s="19">
        <f>IFERROR(VLOOKUP(C18,Modules!$C$5:$G$36,3,FALSE()),0)</f>
        <v>0</v>
      </c>
      <c r="F18" s="15">
        <f>IFERROR(VLOOKUP(C18,Modules!$C$5:$G$36,3,FALSE()),0)</f>
        <v>0</v>
      </c>
      <c r="G18" s="20">
        <f>IFERROR(VLOOKUP(C18,Modules!$C$5:$G$36,4,FALSE()),0)</f>
        <v>9.9999999999999978E-2</v>
      </c>
      <c r="H18" s="21" t="str">
        <f t="shared" si="0"/>
        <v>En cours</v>
      </c>
    </row>
    <row r="19" spans="2:8" ht="21.75" customHeight="1" x14ac:dyDescent="0.25">
      <c r="B19" s="12">
        <v>13</v>
      </c>
      <c r="C19" s="13" t="s">
        <v>34</v>
      </c>
      <c r="D19" s="14">
        <f>IFERROR(VLOOKUP(C19,Modules!$C$5:$G$36,2,FALSE()),0)</f>
        <v>1</v>
      </c>
      <c r="E19" s="14">
        <f>IFERROR(VLOOKUP(C19,Modules!$C$5:$G$36,3,FALSE()),0)</f>
        <v>0</v>
      </c>
      <c r="F19" s="15">
        <f>IFERROR(VLOOKUP(C19,Modules!$C$5:$G$36,3,FALSE()),0)</f>
        <v>0</v>
      </c>
      <c r="G19" s="15">
        <f>IFERROR(VLOOKUP(C19,Modules!$C$5:$G$36,4,FALSE()),0)</f>
        <v>0</v>
      </c>
      <c r="H19" s="16" t="str">
        <f t="shared" si="0"/>
        <v>Complété</v>
      </c>
    </row>
    <row r="20" spans="2:8" ht="21.75" customHeight="1" x14ac:dyDescent="0.25">
      <c r="B20" s="17">
        <v>14</v>
      </c>
      <c r="C20" s="18" t="s">
        <v>35</v>
      </c>
      <c r="D20" s="19">
        <f>IFERROR(VLOOKUP(C20,Modules!$C$5:$G$36,2,FALSE()),0)</f>
        <v>1</v>
      </c>
      <c r="E20" s="19">
        <f>IFERROR(VLOOKUP(C20,Modules!$C$5:$G$36,3,FALSE()),0)</f>
        <v>0</v>
      </c>
      <c r="F20" s="15">
        <f>IFERROR(VLOOKUP(C20,Modules!$C$5:$G$36,3,FALSE()),0)</f>
        <v>0</v>
      </c>
      <c r="G20" s="20">
        <f>IFERROR(VLOOKUP(C20,Modules!$C$5:$G$36,4,FALSE()),0)</f>
        <v>0</v>
      </c>
      <c r="H20" s="21" t="str">
        <f t="shared" si="0"/>
        <v>Complété</v>
      </c>
    </row>
    <row r="21" spans="2:8" ht="21.75" customHeight="1" x14ac:dyDescent="0.25">
      <c r="B21" s="12">
        <v>15</v>
      </c>
      <c r="C21" s="13" t="s">
        <v>36</v>
      </c>
      <c r="D21" s="14">
        <f>IFERROR(VLOOKUP(C21,Modules!$C$5:$G$36,2,FALSE()),0)</f>
        <v>0.95</v>
      </c>
      <c r="E21" s="14">
        <f>IFERROR(VLOOKUP(C21,Modules!$C$5:$G$36,3,FALSE()),0)</f>
        <v>0</v>
      </c>
      <c r="F21" s="15">
        <f>IFERROR(VLOOKUP(C21,Modules!$C$5:$G$36,3,FALSE()),0)</f>
        <v>0</v>
      </c>
      <c r="G21" s="15">
        <f>IFERROR(VLOOKUP(C21,Modules!$C$5:$G$36,4,FALSE()),0)</f>
        <v>5.0000000000000044E-2</v>
      </c>
      <c r="H21" s="16" t="str">
        <f t="shared" si="0"/>
        <v>En cours</v>
      </c>
    </row>
    <row r="22" spans="2:8" ht="21.75" customHeight="1" x14ac:dyDescent="0.25">
      <c r="B22" s="17">
        <v>16</v>
      </c>
      <c r="C22" s="18" t="s">
        <v>37</v>
      </c>
      <c r="D22" s="19">
        <f>IFERROR(VLOOKUP(C22,Modules!$C$5:$G$36,2,FALSE()),0)</f>
        <v>0.9</v>
      </c>
      <c r="E22" s="19">
        <f>IFERROR(VLOOKUP(C22,Modules!$C$5:$G$36,3,FALSE()),0)</f>
        <v>0</v>
      </c>
      <c r="F22" s="15">
        <f>IFERROR(VLOOKUP(C22,Modules!$C$5:$G$36,3,FALSE()),0)</f>
        <v>0</v>
      </c>
      <c r="G22" s="20">
        <f>IFERROR(VLOOKUP(C22,Modules!$C$5:$G$36,4,FALSE()),0)</f>
        <v>0.19999999999999996</v>
      </c>
      <c r="H22" s="21" t="str">
        <f t="shared" si="0"/>
        <v>En cours</v>
      </c>
    </row>
    <row r="23" spans="2:8" ht="21.75" customHeight="1" x14ac:dyDescent="0.25">
      <c r="B23" s="12">
        <v>17</v>
      </c>
      <c r="C23" s="13" t="s">
        <v>38</v>
      </c>
      <c r="D23" s="14">
        <f>IFERROR(VLOOKUP(C23,Modules!$C$5:$G$36,2,FALSE()),0)</f>
        <v>0.95</v>
      </c>
      <c r="E23" s="14">
        <f>IFERROR(VLOOKUP(C23,Modules!$C$5:$G$36,3,FALSE()),0)</f>
        <v>0</v>
      </c>
      <c r="F23" s="15">
        <f>IFERROR(VLOOKUP(C23,Modules!$C$5:$G$36,3,FALSE()),0)</f>
        <v>0</v>
      </c>
      <c r="G23" s="15">
        <f>IFERROR(VLOOKUP(C23,Modules!$C$5:$G$36,4,FALSE()),0)</f>
        <v>0.20000000000000018</v>
      </c>
      <c r="H23" s="16" t="str">
        <f t="shared" si="0"/>
        <v>En cours</v>
      </c>
    </row>
    <row r="24" spans="2:8" ht="21.75" customHeight="1" x14ac:dyDescent="0.25">
      <c r="B24" s="17">
        <v>18</v>
      </c>
      <c r="C24" s="18" t="s">
        <v>39</v>
      </c>
      <c r="D24" s="19">
        <f>IFERROR(VLOOKUP(C24,Modules!$C$5:$G$36,2,FALSE()),0)</f>
        <v>0.85</v>
      </c>
      <c r="E24" s="19">
        <f>IFERROR(VLOOKUP(C24,Modules!$C$5:$G$36,3,FALSE()),0)</f>
        <v>0</v>
      </c>
      <c r="F24" s="15">
        <f>IFERROR(VLOOKUP(C24,Modules!$C$5:$G$36,3,FALSE()),0)</f>
        <v>0</v>
      </c>
      <c r="G24" s="20">
        <f>IFERROR(VLOOKUP(C24,Modules!$C$5:$G$36,4,FALSE()),0)</f>
        <v>0.45000000000000007</v>
      </c>
      <c r="H24" s="21" t="str">
        <f t="shared" si="0"/>
        <v>En cours</v>
      </c>
    </row>
    <row r="25" spans="2:8" ht="21.75" customHeight="1" x14ac:dyDescent="0.25">
      <c r="B25" s="12">
        <v>19</v>
      </c>
      <c r="C25" s="13" t="s">
        <v>40</v>
      </c>
      <c r="D25" s="14">
        <f>IFERROR(VLOOKUP(C25,Modules!$C$5:$G$36,2,FALSE()),0)</f>
        <v>0.25</v>
      </c>
      <c r="E25" s="14">
        <f>IFERROR(VLOOKUP(C25,Modules!$C$5:$G$36,3,FALSE()),0)</f>
        <v>0</v>
      </c>
      <c r="F25" s="15">
        <f>IFERROR(VLOOKUP(C25,Modules!$C$5:$G$36,3,FALSE()),0)</f>
        <v>0</v>
      </c>
      <c r="G25" s="15">
        <f>IFERROR(VLOOKUP(C25,Modules!$C$5:$G$36,4,FALSE()),0)</f>
        <v>1.5</v>
      </c>
      <c r="H25" s="16" t="str">
        <f t="shared" si="0"/>
        <v>En cours</v>
      </c>
    </row>
    <row r="26" spans="2:8" ht="21.75" customHeight="1" x14ac:dyDescent="0.25">
      <c r="B26" s="17">
        <v>20</v>
      </c>
      <c r="C26" s="18" t="s">
        <v>41</v>
      </c>
      <c r="D26" s="19">
        <f>IFERROR(VLOOKUP(C26,Modules!$C$5:$G$36,2,FALSE()),0)</f>
        <v>0.85</v>
      </c>
      <c r="E26" s="19">
        <f>IFERROR(VLOOKUP(C26,Modules!$C$5:$G$36,3,FALSE()),0)</f>
        <v>0</v>
      </c>
      <c r="F26" s="15">
        <f>IFERROR(VLOOKUP(C26,Modules!$C$5:$G$36,3,FALSE()),0)</f>
        <v>0</v>
      </c>
      <c r="G26" s="20">
        <f>IFERROR(VLOOKUP(C26,Modules!$C$5:$G$36,4,FALSE()),0)</f>
        <v>0.45000000000000007</v>
      </c>
      <c r="H26" s="21" t="str">
        <f t="shared" si="0"/>
        <v>En cours</v>
      </c>
    </row>
    <row r="27" spans="2:8" ht="21.75" customHeight="1" x14ac:dyDescent="0.25">
      <c r="B27" s="12">
        <v>21</v>
      </c>
      <c r="C27" s="13" t="s">
        <v>42</v>
      </c>
      <c r="D27" s="14">
        <f>IFERROR(VLOOKUP(C27,Modules!$C$5:$G$36,2,FALSE()),0)</f>
        <v>0.95</v>
      </c>
      <c r="E27" s="14">
        <f>IFERROR(VLOOKUP(C27,Modules!$C$5:$G$36,3,FALSE()),0)</f>
        <v>0</v>
      </c>
      <c r="F27" s="15">
        <f>IFERROR(VLOOKUP(C27,Modules!$C$5:$G$36,3,FALSE()),0)</f>
        <v>0</v>
      </c>
      <c r="G27" s="15">
        <f>IFERROR(VLOOKUP(C27,Modules!$C$5:$G$36,4,FALSE()),0)</f>
        <v>0.10000000000000009</v>
      </c>
      <c r="H27" s="16" t="str">
        <f t="shared" si="0"/>
        <v>En cours</v>
      </c>
    </row>
    <row r="28" spans="2:8" ht="21.75" customHeight="1" x14ac:dyDescent="0.25">
      <c r="B28" s="17">
        <v>22</v>
      </c>
      <c r="C28" s="18" t="s">
        <v>43</v>
      </c>
      <c r="D28" s="19">
        <f>IFERROR(VLOOKUP(C28,Modules!$C$5:$G$36,2,FALSE()),0)</f>
        <v>0.95</v>
      </c>
      <c r="E28" s="19">
        <f>IFERROR(VLOOKUP(C28,Modules!$C$5:$G$36,3,FALSE()),0)</f>
        <v>0</v>
      </c>
      <c r="F28" s="15">
        <f>IFERROR(VLOOKUP(C28,Modules!$C$5:$G$36,3,FALSE()),0)</f>
        <v>0</v>
      </c>
      <c r="G28" s="20">
        <f>IFERROR(VLOOKUP(C28,Modules!$C$5:$G$36,4,FALSE()),0)</f>
        <v>5.0000000000000044E-2</v>
      </c>
      <c r="H28" s="21" t="str">
        <f t="shared" si="0"/>
        <v>En cours</v>
      </c>
    </row>
    <row r="29" spans="2:8" ht="21.75" customHeight="1" x14ac:dyDescent="0.25">
      <c r="B29" s="12">
        <v>23</v>
      </c>
      <c r="C29" s="13" t="s">
        <v>44</v>
      </c>
      <c r="D29" s="14">
        <f>IFERROR(VLOOKUP(C29,Modules!$C$5:$G$36,2,FALSE()),0)</f>
        <v>0.9</v>
      </c>
      <c r="E29" s="14">
        <f>IFERROR(VLOOKUP(C29,Modules!$C$5:$G$36,3,FALSE()),0)</f>
        <v>0</v>
      </c>
      <c r="F29" s="15">
        <f>IFERROR(VLOOKUP(C29,Modules!$C$5:$G$36,3,FALSE()),0)</f>
        <v>0</v>
      </c>
      <c r="G29" s="15">
        <f>IFERROR(VLOOKUP(C29,Modules!$C$5:$G$36,4,FALSE()),0)</f>
        <v>0.29999999999999993</v>
      </c>
      <c r="H29" s="16" t="str">
        <f t="shared" si="0"/>
        <v>En cours</v>
      </c>
    </row>
    <row r="30" spans="2:8" ht="21.75" customHeight="1" x14ac:dyDescent="0.25">
      <c r="B30" s="17">
        <v>24</v>
      </c>
      <c r="C30" s="18" t="s">
        <v>45</v>
      </c>
      <c r="D30" s="19">
        <f>IFERROR(VLOOKUP(C30,Modules!$C$5:$G$36,2,FALSE()),0)</f>
        <v>0.7</v>
      </c>
      <c r="E30" s="19">
        <f>IFERROR(VLOOKUP(C30,Modules!$C$5:$G$36,3,FALSE()),0)</f>
        <v>0</v>
      </c>
      <c r="F30" s="15">
        <f>IFERROR(VLOOKUP(C30,Modules!$C$5:$G$36,3,FALSE()),0)</f>
        <v>0</v>
      </c>
      <c r="G30" s="20">
        <f>IFERROR(VLOOKUP(C30,Modules!$C$5:$G$36,4,FALSE()),0)</f>
        <v>0.90000000000000013</v>
      </c>
      <c r="H30" s="21" t="str">
        <f t="shared" si="0"/>
        <v>En cours</v>
      </c>
    </row>
    <row r="31" spans="2:8" ht="21.75" customHeight="1" x14ac:dyDescent="0.25">
      <c r="B31" s="12">
        <v>25</v>
      </c>
      <c r="C31" s="13" t="s">
        <v>46</v>
      </c>
      <c r="D31" s="14">
        <f>IFERROR(VLOOKUP(C31,Modules!$C$5:$G$36,2,FALSE()),0)</f>
        <v>1</v>
      </c>
      <c r="E31" s="14">
        <f>IFERROR(VLOOKUP(C31,Modules!$C$5:$G$36,3,FALSE()),0)</f>
        <v>0</v>
      </c>
      <c r="F31" s="15">
        <f>IFERROR(VLOOKUP(C31,Modules!$C$5:$G$36,3,FALSE()),0)</f>
        <v>0</v>
      </c>
      <c r="G31" s="15">
        <f>IFERROR(VLOOKUP(C31,Modules!$C$5:$G$36,4,FALSE()),0)</f>
        <v>0</v>
      </c>
      <c r="H31" s="16" t="str">
        <f t="shared" si="0"/>
        <v>Complété</v>
      </c>
    </row>
    <row r="32" spans="2:8" ht="27.75" customHeight="1" x14ac:dyDescent="0.25">
      <c r="B32" s="71" t="s">
        <v>47</v>
      </c>
      <c r="C32" s="71"/>
      <c r="D32" s="22">
        <f>AVERAGE(D7:D31)</f>
        <v>0.91799999999999993</v>
      </c>
      <c r="E32" s="22"/>
      <c r="F32" s="23">
        <f>SUM(F7:F31)</f>
        <v>0</v>
      </c>
      <c r="G32" s="23">
        <f>SUM(G7:G31)</f>
        <v>4.4000000000000004</v>
      </c>
      <c r="H32" s="24" t="str">
        <f>COUNTA(C7:C31)&amp;" modules"</f>
        <v>25 modules</v>
      </c>
    </row>
  </sheetData>
  <autoFilter ref="B6:H31" xr:uid="{00000000-0009-0000-0000-000001000000}"/>
  <mergeCells count="4">
    <mergeCell ref="B2:H2"/>
    <mergeCell ref="B3:H3"/>
    <mergeCell ref="B4:H4"/>
    <mergeCell ref="B32:C32"/>
  </mergeCells>
  <conditionalFormatting sqref="D7:E31">
    <cfRule type="dataBar" priority="2">
      <dataBar>
        <cfvo type="num" val="0"/>
        <cfvo type="num" val="1"/>
        <color rgb="FF0D9488"/>
      </dataBar>
      <extLst>
        <ext xmlns:x14="http://schemas.microsoft.com/office/spreadsheetml/2009/9/main" uri="{B025F937-C7B1-47D3-B67F-A62EFF666E3E}">
          <x14:id>{AFF8E2B0-6F1D-4014-8743-6E362C10FD77}</x14:id>
        </ext>
      </extLst>
    </cfRule>
  </conditionalFormatting>
  <conditionalFormatting sqref="F7:G31">
    <cfRule type="colorScale" priority="3">
      <colorScale>
        <cfvo type="min"/>
        <cfvo type="percentile" val="50"/>
        <cfvo type="max"/>
        <color rgb="FFD1FAE5"/>
        <color rgb="FFFEF3C7"/>
        <color rgb="FFFEE2E2"/>
      </colorScale>
    </cfRule>
  </conditionalFormatting>
  <conditionalFormatting sqref="H7:H31">
    <cfRule type="expression" dxfId="8" priority="4">
      <formula>$H7="Complété"</formula>
    </cfRule>
    <cfRule type="expression" dxfId="7" priority="5">
      <formula>$H7="En cours"</formula>
    </cfRule>
    <cfRule type="expression" dxfId="6" priority="6">
      <formula>$H7="À faire"</formula>
    </cfRule>
  </conditionalFormatting>
  <printOptions horizontalCentered="1"/>
  <pageMargins left="0.4" right="0.4" top="0.5" bottom="0.5"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AFF8E2B0-6F1D-4014-8743-6E362C10FD77}">
            <x14:dataBar axisPosition="none">
              <x14:cfvo type="num">
                <xm:f>0</xm:f>
              </x14:cfvo>
              <x14:cfvo type="num">
                <xm:f>1</xm:f>
              </x14:cfvo>
              <x14:negativeFillColor rgb="FF0D9488"/>
            </x14:dataBar>
          </x14:cfRule>
          <xm:sqref>D7:E31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H39"/>
  <sheetViews>
    <sheetView showGridLines="0" tabSelected="1" zoomScaleNormal="100" workbookViewId="0">
      <pane xSplit="1" ySplit="6" topLeftCell="B22" activePane="bottomRight" state="frozen"/>
      <selection pane="topRight" activeCell="B1" sqref="B1"/>
      <selection pane="bottomLeft" activeCell="A7" sqref="A7"/>
      <selection pane="bottomRight" activeCell="C22" sqref="C22:C24"/>
    </sheetView>
  </sheetViews>
  <sheetFormatPr baseColWidth="10" defaultColWidth="8.7109375" defaultRowHeight="15" x14ac:dyDescent="0.25"/>
  <cols>
    <col min="1" max="1" width="2" customWidth="1"/>
    <col min="2" max="2" width="6" customWidth="1"/>
    <col min="3" max="3" width="42" customWidth="1"/>
    <col min="4" max="7" width="16" customWidth="1"/>
    <col min="8" max="8" width="2" customWidth="1"/>
  </cols>
  <sheetData>
    <row r="1" spans="2:8" ht="12" customHeight="1" x14ac:dyDescent="0.25"/>
    <row r="2" spans="2:8" ht="21.75" customHeight="1" x14ac:dyDescent="0.25">
      <c r="B2" s="50" t="s">
        <v>48</v>
      </c>
      <c r="C2" s="50"/>
      <c r="D2" s="50"/>
      <c r="E2" s="50"/>
      <c r="F2" s="50"/>
      <c r="G2" s="50"/>
    </row>
    <row r="3" spans="2:8" ht="37.5" customHeight="1" x14ac:dyDescent="0.25">
      <c r="B3" s="51" t="s">
        <v>49</v>
      </c>
      <c r="C3" s="51"/>
      <c r="D3" s="51"/>
      <c r="E3" s="51"/>
      <c r="F3" s="51"/>
      <c r="G3" s="51"/>
    </row>
    <row r="4" spans="2:8" ht="21.75" customHeight="1" x14ac:dyDescent="0.25">
      <c r="B4" s="52" t="s">
        <v>50</v>
      </c>
      <c r="C4" s="52"/>
      <c r="D4" s="52"/>
      <c r="E4" s="52"/>
      <c r="F4" s="52"/>
      <c r="G4" s="52"/>
    </row>
    <row r="5" spans="2:8" ht="13.5" customHeight="1" x14ac:dyDescent="0.25"/>
    <row r="6" spans="2:8" ht="30" customHeight="1" x14ac:dyDescent="0.25">
      <c r="B6" s="25" t="s">
        <v>17</v>
      </c>
      <c r="C6" s="25" t="s">
        <v>18</v>
      </c>
      <c r="D6" s="25" t="s">
        <v>19</v>
      </c>
      <c r="E6" s="25" t="s">
        <v>320</v>
      </c>
      <c r="F6" s="25" t="s">
        <v>8</v>
      </c>
      <c r="G6" s="25" t="s">
        <v>20</v>
      </c>
      <c r="H6" s="25" t="s">
        <v>21</v>
      </c>
    </row>
    <row r="7" spans="2:8" ht="21.75" customHeight="1" x14ac:dyDescent="0.25">
      <c r="B7" s="12">
        <v>1</v>
      </c>
      <c r="C7" s="13" t="s">
        <v>22</v>
      </c>
      <c r="D7" s="14">
        <f>IFERROR(VLOOKUP(C7,Modules!$C$5:$G$36,2,FALSE()),0)</f>
        <v>0.9</v>
      </c>
      <c r="E7" s="14">
        <f>IFERROR(VLOOKUP(C7,Modules!$C$5:$G$36,3,FALSE()),0)</f>
        <v>0</v>
      </c>
      <c r="F7" s="15">
        <f>IFERROR(VLOOKUP(C7,Modules!$C$5:$G$36,3,FALSE()),0)</f>
        <v>0</v>
      </c>
      <c r="G7" s="15">
        <f>IFERROR(VLOOKUP(C7,Modules!$C$5:$G$36,4,FALSE()),0)</f>
        <v>4.9999999999999989E-2</v>
      </c>
      <c r="H7" s="16" t="str">
        <f t="shared" ref="H7:H38" si="0">IF(D7=1,"Complété",IF(D7=0,"À faire","En cours"))</f>
        <v>En cours</v>
      </c>
    </row>
    <row r="8" spans="2:8" ht="21.75" customHeight="1" x14ac:dyDescent="0.25">
      <c r="B8" s="17">
        <v>2</v>
      </c>
      <c r="C8" s="18" t="s">
        <v>23</v>
      </c>
      <c r="D8" s="19">
        <f>IFERROR(VLOOKUP(C8,Modules!$C$5:$G$36,2,FALSE()),0)</f>
        <v>1</v>
      </c>
      <c r="E8" s="19">
        <f>IFERROR(VLOOKUP(C8,Modules!$C$5:$G$36,3,FALSE()),0)</f>
        <v>0</v>
      </c>
      <c r="F8" s="20">
        <f>IFERROR(VLOOKUP(C8,Modules!$C$5:$G$36,3,FALSE()),0)</f>
        <v>0</v>
      </c>
      <c r="G8" s="20">
        <f>IFERROR(VLOOKUP(C8,Modules!$C$5:$G$36,4,FALSE()),0)</f>
        <v>0</v>
      </c>
      <c r="H8" s="21" t="str">
        <f t="shared" si="0"/>
        <v>Complété</v>
      </c>
    </row>
    <row r="9" spans="2:8" ht="21.75" customHeight="1" x14ac:dyDescent="0.25">
      <c r="B9" s="12">
        <v>3</v>
      </c>
      <c r="C9" s="13" t="s">
        <v>24</v>
      </c>
      <c r="D9" s="14">
        <f>IFERROR(VLOOKUP(C9,Modules!$C$5:$G$36,2,FALSE()),0)</f>
        <v>0.9</v>
      </c>
      <c r="E9" s="14">
        <f>IFERROR(VLOOKUP(C9,Modules!$C$5:$G$36,3,FALSE()),0)</f>
        <v>0</v>
      </c>
      <c r="F9" s="15">
        <f>IFERROR(VLOOKUP(C9,Modules!$C$5:$G$36,3,FALSE()),0)</f>
        <v>0</v>
      </c>
      <c r="G9" s="15">
        <f>IFERROR(VLOOKUP(C9,Modules!$C$5:$G$36,4,FALSE()),0)</f>
        <v>4.9999999999999989E-2</v>
      </c>
      <c r="H9" s="16" t="str">
        <f t="shared" si="0"/>
        <v>En cours</v>
      </c>
    </row>
    <row r="10" spans="2:8" ht="21.75" customHeight="1" x14ac:dyDescent="0.25">
      <c r="B10" s="17">
        <v>4</v>
      </c>
      <c r="C10" s="18" t="s">
        <v>25</v>
      </c>
      <c r="D10" s="19">
        <f>IFERROR(VLOOKUP(C10,Modules!$C$5:$G$36,2,FALSE()),0)</f>
        <v>1</v>
      </c>
      <c r="E10" s="19">
        <f>IFERROR(VLOOKUP(C10,Modules!$C$5:$G$36,3,FALSE()),0)</f>
        <v>0</v>
      </c>
      <c r="F10" s="20">
        <f>IFERROR(VLOOKUP(C10,Modules!$C$5:$G$36,3,FALSE()),0)</f>
        <v>0</v>
      </c>
      <c r="G10" s="20">
        <f>IFERROR(VLOOKUP(C10,Modules!$C$5:$G$36,4,FALSE()),0)</f>
        <v>0</v>
      </c>
      <c r="H10" s="21" t="str">
        <f t="shared" si="0"/>
        <v>Complété</v>
      </c>
    </row>
    <row r="11" spans="2:8" ht="21.75" customHeight="1" x14ac:dyDescent="0.25">
      <c r="B11" s="12">
        <v>5</v>
      </c>
      <c r="C11" s="13" t="s">
        <v>26</v>
      </c>
      <c r="D11" s="14">
        <f>IFERROR(VLOOKUP(C11,Modules!$C$5:$G$36,2,FALSE()),0)</f>
        <v>1</v>
      </c>
      <c r="E11" s="14">
        <f>IFERROR(VLOOKUP(C11,Modules!$C$5:$G$36,3,FALSE()),0)</f>
        <v>0</v>
      </c>
      <c r="F11" s="15">
        <f>IFERROR(VLOOKUP(C11,Modules!$C$5:$G$36,3,FALSE()),0)</f>
        <v>0</v>
      </c>
      <c r="G11" s="15">
        <f>IFERROR(VLOOKUP(C11,Modules!$C$5:$G$36,4,FALSE()),0)</f>
        <v>0</v>
      </c>
      <c r="H11" s="16" t="str">
        <f t="shared" si="0"/>
        <v>Complété</v>
      </c>
    </row>
    <row r="12" spans="2:8" ht="21.75" customHeight="1" x14ac:dyDescent="0.25">
      <c r="B12" s="17">
        <v>6</v>
      </c>
      <c r="C12" s="18" t="s">
        <v>27</v>
      </c>
      <c r="D12" s="19">
        <f>IFERROR(VLOOKUP(C12,Modules!$C$5:$G$36,2,FALSE()),0)</f>
        <v>1</v>
      </c>
      <c r="E12" s="19">
        <f>IFERROR(VLOOKUP(C12,Modules!$C$5:$G$36,3,FALSE()),0)</f>
        <v>0</v>
      </c>
      <c r="F12" s="20">
        <f>IFERROR(VLOOKUP(C12,Modules!$C$5:$G$36,3,FALSE()),0)</f>
        <v>0</v>
      </c>
      <c r="G12" s="20">
        <f>IFERROR(VLOOKUP(C12,Modules!$C$5:$G$36,4,FALSE()),0)</f>
        <v>0</v>
      </c>
      <c r="H12" s="21" t="str">
        <f t="shared" si="0"/>
        <v>Complété</v>
      </c>
    </row>
    <row r="13" spans="2:8" ht="21.75" customHeight="1" x14ac:dyDescent="0.25">
      <c r="B13" s="12">
        <v>7</v>
      </c>
      <c r="C13" s="13" t="s">
        <v>28</v>
      </c>
      <c r="D13" s="14">
        <f>IFERROR(VLOOKUP(C13,Modules!$C$5:$G$36,2,FALSE()),0)</f>
        <v>1</v>
      </c>
      <c r="E13" s="14">
        <f>IFERROR(VLOOKUP(C13,Modules!$C$5:$G$36,3,FALSE()),0)</f>
        <v>0</v>
      </c>
      <c r="F13" s="15">
        <f>IFERROR(VLOOKUP(C13,Modules!$C$5:$G$36,3,FALSE()),0)</f>
        <v>0</v>
      </c>
      <c r="G13" s="15">
        <f>IFERROR(VLOOKUP(C13,Modules!$C$5:$G$36,4,FALSE()),0)</f>
        <v>0</v>
      </c>
      <c r="H13" s="16" t="str">
        <f t="shared" si="0"/>
        <v>Complété</v>
      </c>
    </row>
    <row r="14" spans="2:8" ht="21.75" customHeight="1" x14ac:dyDescent="0.25">
      <c r="B14" s="17">
        <v>8</v>
      </c>
      <c r="C14" s="18" t="s">
        <v>29</v>
      </c>
      <c r="D14" s="19">
        <f>IFERROR(VLOOKUP(C14,Modules!$C$5:$G$36,2,FALSE()),0)</f>
        <v>1</v>
      </c>
      <c r="E14" s="19">
        <f>IFERROR(VLOOKUP(C14,Modules!$C$5:$G$36,3,FALSE()),0)</f>
        <v>0</v>
      </c>
      <c r="F14" s="20">
        <f>IFERROR(VLOOKUP(C14,Modules!$C$5:$G$36,3,FALSE()),0)</f>
        <v>0</v>
      </c>
      <c r="G14" s="20">
        <f>IFERROR(VLOOKUP(C14,Modules!$C$5:$G$36,4,FALSE()),0)</f>
        <v>0</v>
      </c>
      <c r="H14" s="21" t="str">
        <f t="shared" si="0"/>
        <v>Complété</v>
      </c>
    </row>
    <row r="15" spans="2:8" ht="21.75" customHeight="1" x14ac:dyDescent="0.25">
      <c r="B15" s="12">
        <v>9</v>
      </c>
      <c r="C15" s="13" t="s">
        <v>30</v>
      </c>
      <c r="D15" s="14">
        <f>IFERROR(VLOOKUP(C15,Modules!$C$5:$G$36,2,FALSE()),0)</f>
        <v>1</v>
      </c>
      <c r="E15" s="14">
        <f>IFERROR(VLOOKUP(C15,Modules!$C$5:$G$36,3,FALSE()),0)</f>
        <v>0</v>
      </c>
      <c r="F15" s="15">
        <f>IFERROR(VLOOKUP(C15,Modules!$C$5:$G$36,3,FALSE()),0)</f>
        <v>0</v>
      </c>
      <c r="G15" s="15">
        <f>IFERROR(VLOOKUP(C15,Modules!$C$5:$G$36,4,FALSE()),0)</f>
        <v>0</v>
      </c>
      <c r="H15" s="16" t="str">
        <f t="shared" si="0"/>
        <v>Complété</v>
      </c>
    </row>
    <row r="16" spans="2:8" ht="21.75" customHeight="1" x14ac:dyDescent="0.25">
      <c r="B16" s="17">
        <v>10</v>
      </c>
      <c r="C16" s="18" t="s">
        <v>31</v>
      </c>
      <c r="D16" s="19">
        <f>IFERROR(VLOOKUP(C16,Modules!$C$5:$G$36,2,FALSE()),0)</f>
        <v>1</v>
      </c>
      <c r="E16" s="19">
        <f>IFERROR(VLOOKUP(C16,Modules!$C$5:$G$36,3,FALSE()),0)</f>
        <v>0</v>
      </c>
      <c r="F16" s="20">
        <f>IFERROR(VLOOKUP(C16,Modules!$C$5:$G$36,3,FALSE()),0)</f>
        <v>0</v>
      </c>
      <c r="G16" s="20">
        <f>IFERROR(VLOOKUP(C16,Modules!$C$5:$G$36,4,FALSE()),0)</f>
        <v>0</v>
      </c>
      <c r="H16" s="21" t="str">
        <f t="shared" si="0"/>
        <v>Complété</v>
      </c>
    </row>
    <row r="17" spans="2:8" ht="21.75" customHeight="1" x14ac:dyDescent="0.25">
      <c r="B17" s="12">
        <v>11</v>
      </c>
      <c r="C17" s="13" t="s">
        <v>32</v>
      </c>
      <c r="D17" s="14">
        <f>IFERROR(VLOOKUP(C17,Modules!$C$5:$G$36,2,FALSE()),0)</f>
        <v>1</v>
      </c>
      <c r="E17" s="14">
        <f>IFERROR(VLOOKUP(C17,Modules!$C$5:$G$36,3,FALSE()),0)</f>
        <v>0</v>
      </c>
      <c r="F17" s="15">
        <f>IFERROR(VLOOKUP(C17,Modules!$C$5:$G$36,3,FALSE()),0)</f>
        <v>0</v>
      </c>
      <c r="G17" s="15">
        <f>IFERROR(VLOOKUP(C17,Modules!$C$5:$G$36,4,FALSE()),0)</f>
        <v>0</v>
      </c>
      <c r="H17" s="16" t="str">
        <f t="shared" si="0"/>
        <v>Complété</v>
      </c>
    </row>
    <row r="18" spans="2:8" ht="21.75" customHeight="1" x14ac:dyDescent="0.25">
      <c r="B18" s="17">
        <v>12</v>
      </c>
      <c r="C18" s="18" t="s">
        <v>33</v>
      </c>
      <c r="D18" s="19">
        <f>IFERROR(VLOOKUP(C18,Modules!$C$5:$G$36,2,FALSE()),0)</f>
        <v>0.9</v>
      </c>
      <c r="E18" s="19">
        <f>IFERROR(VLOOKUP(C18,Modules!$C$5:$G$36,3,FALSE()),0)</f>
        <v>0</v>
      </c>
      <c r="F18" s="20">
        <f>IFERROR(VLOOKUP(C18,Modules!$C$5:$G$36,3,FALSE()),0)</f>
        <v>0</v>
      </c>
      <c r="G18" s="20">
        <f>IFERROR(VLOOKUP(C18,Modules!$C$5:$G$36,4,FALSE()),0)</f>
        <v>9.9999999999999978E-2</v>
      </c>
      <c r="H18" s="21" t="str">
        <f t="shared" si="0"/>
        <v>En cours</v>
      </c>
    </row>
    <row r="19" spans="2:8" ht="21.75" customHeight="1" x14ac:dyDescent="0.25">
      <c r="B19" s="12">
        <v>13</v>
      </c>
      <c r="C19" s="13" t="s">
        <v>51</v>
      </c>
      <c r="D19" s="14">
        <f>IFERROR(VLOOKUP(C19,Modules!$C$5:$G$36,2,FALSE()),0)</f>
        <v>0.95</v>
      </c>
      <c r="E19" s="14">
        <f>IFERROR(VLOOKUP(C19,Modules!$C$5:$G$36,3,FALSE()),0)</f>
        <v>0</v>
      </c>
      <c r="F19" s="15">
        <f>IFERROR(VLOOKUP(C19,Modules!$C$5:$G$36,3,FALSE()),0)</f>
        <v>0</v>
      </c>
      <c r="G19" s="15">
        <f>IFERROR(VLOOKUP(C19,Modules!$C$5:$G$36,4,FALSE()),0)</f>
        <v>2.5000000000000022E-2</v>
      </c>
      <c r="H19" s="16" t="str">
        <f t="shared" si="0"/>
        <v>En cours</v>
      </c>
    </row>
    <row r="20" spans="2:8" ht="21.75" customHeight="1" x14ac:dyDescent="0.25">
      <c r="B20" s="17">
        <v>14</v>
      </c>
      <c r="C20" s="18" t="s">
        <v>52</v>
      </c>
      <c r="D20" s="19">
        <f>IFERROR(VLOOKUP(C20,Modules!$C$5:$G$36,2,FALSE()),0)</f>
        <v>0.9</v>
      </c>
      <c r="E20" s="19">
        <f>IFERROR(VLOOKUP(C20,Modules!$C$5:$G$36,3,FALSE()),0)</f>
        <v>0</v>
      </c>
      <c r="F20" s="20">
        <f>IFERROR(VLOOKUP(C20,Modules!$C$5:$G$36,3,FALSE()),0)</f>
        <v>0</v>
      </c>
      <c r="G20" s="20">
        <f>IFERROR(VLOOKUP(C20,Modules!$C$5:$G$36,4,FALSE()),0)</f>
        <v>4.9999999999999989E-2</v>
      </c>
      <c r="H20" s="21" t="str">
        <f t="shared" si="0"/>
        <v>En cours</v>
      </c>
    </row>
    <row r="21" spans="2:8" ht="21.75" customHeight="1" x14ac:dyDescent="0.25">
      <c r="B21" s="12">
        <v>15</v>
      </c>
      <c r="C21" s="13" t="s">
        <v>34</v>
      </c>
      <c r="D21" s="14">
        <f>IFERROR(VLOOKUP(C21,Modules!$C$5:$G$36,2,FALSE()),0)</f>
        <v>1</v>
      </c>
      <c r="E21" s="14">
        <f>IFERROR(VLOOKUP(C21,Modules!$C$5:$G$36,3,FALSE()),0)</f>
        <v>0</v>
      </c>
      <c r="F21" s="15">
        <f>IFERROR(VLOOKUP(C21,Modules!$C$5:$G$36,3,FALSE()),0)</f>
        <v>0</v>
      </c>
      <c r="G21" s="15">
        <f>IFERROR(VLOOKUP(C21,Modules!$C$5:$G$36,4,FALSE()),0)</f>
        <v>0</v>
      </c>
      <c r="H21" s="16" t="str">
        <f t="shared" si="0"/>
        <v>Complété</v>
      </c>
    </row>
    <row r="22" spans="2:8" ht="21.75" customHeight="1" x14ac:dyDescent="0.25">
      <c r="B22" s="17">
        <v>16</v>
      </c>
      <c r="C22" s="18" t="s">
        <v>53</v>
      </c>
      <c r="D22" s="19">
        <f>IFERROR(VLOOKUP(C22,Modules!$C$5:$G$36,2,FALSE()),0)</f>
        <v>0</v>
      </c>
      <c r="E22" s="19">
        <f>IFERROR(VLOOKUP(C22,Modules!$C$5:$G$36,3,FALSE()),0)</f>
        <v>0</v>
      </c>
      <c r="F22" s="20">
        <f>IFERROR(VLOOKUP(C22,Modules!$C$5:$G$36,3,FALSE()),0)</f>
        <v>0</v>
      </c>
      <c r="G22" s="20">
        <f>IFERROR(VLOOKUP(C22,Modules!$C$5:$G$36,4,FALSE()),0)</f>
        <v>1</v>
      </c>
      <c r="H22" s="21" t="str">
        <f t="shared" si="0"/>
        <v>À faire</v>
      </c>
    </row>
    <row r="23" spans="2:8" ht="21.75" customHeight="1" x14ac:dyDescent="0.25">
      <c r="B23" s="12">
        <v>17</v>
      </c>
      <c r="C23" s="13" t="s">
        <v>54</v>
      </c>
      <c r="D23" s="14">
        <f>IFERROR(VLOOKUP(C23,Modules!$C$5:$G$36,2,FALSE()),0)</f>
        <v>0</v>
      </c>
      <c r="E23" s="14">
        <f>IFERROR(VLOOKUP(C23,Modules!$C$5:$G$36,3,FALSE()),0)</f>
        <v>0</v>
      </c>
      <c r="F23" s="15">
        <f>IFERROR(VLOOKUP(C23,Modules!$C$5:$G$36,3,FALSE()),0)</f>
        <v>0</v>
      </c>
      <c r="G23" s="15">
        <f>IFERROR(VLOOKUP(C23,Modules!$C$5:$G$36,4,FALSE()),0)</f>
        <v>5</v>
      </c>
      <c r="H23" s="16" t="str">
        <f t="shared" si="0"/>
        <v>À faire</v>
      </c>
    </row>
    <row r="24" spans="2:8" ht="21.75" customHeight="1" x14ac:dyDescent="0.25">
      <c r="B24" s="17">
        <v>18</v>
      </c>
      <c r="C24" s="18" t="s">
        <v>55</v>
      </c>
      <c r="D24" s="19">
        <f>IFERROR(VLOOKUP(C24,Modules!$C$5:$G$36,2,FALSE()),0)</f>
        <v>0</v>
      </c>
      <c r="E24" s="19">
        <f>IFERROR(VLOOKUP(C24,Modules!$C$5:$G$36,3,FALSE()),0)</f>
        <v>0</v>
      </c>
      <c r="F24" s="20">
        <f>IFERROR(VLOOKUP(C24,Modules!$C$5:$G$36,3,FALSE()),0)</f>
        <v>0</v>
      </c>
      <c r="G24" s="20">
        <f>IFERROR(VLOOKUP(C24,Modules!$C$5:$G$36,4,FALSE()),0)</f>
        <v>3</v>
      </c>
      <c r="H24" s="21" t="str">
        <f t="shared" si="0"/>
        <v>À faire</v>
      </c>
    </row>
    <row r="25" spans="2:8" ht="21.75" customHeight="1" x14ac:dyDescent="0.25">
      <c r="B25" s="12">
        <v>19</v>
      </c>
      <c r="C25" s="13" t="s">
        <v>35</v>
      </c>
      <c r="D25" s="14">
        <f>IFERROR(VLOOKUP(C25,Modules!$C$5:$G$36,2,FALSE()),0)</f>
        <v>1</v>
      </c>
      <c r="E25" s="14">
        <f>IFERROR(VLOOKUP(C25,Modules!$C$5:$G$36,3,FALSE()),0)</f>
        <v>0</v>
      </c>
      <c r="F25" s="15">
        <f>IFERROR(VLOOKUP(C25,Modules!$C$5:$G$36,3,FALSE()),0)</f>
        <v>0</v>
      </c>
      <c r="G25" s="15">
        <f>IFERROR(VLOOKUP(C25,Modules!$C$5:$G$36,4,FALSE()),0)</f>
        <v>0</v>
      </c>
      <c r="H25" s="16" t="str">
        <f t="shared" si="0"/>
        <v>Complété</v>
      </c>
    </row>
    <row r="26" spans="2:8" ht="21.75" customHeight="1" x14ac:dyDescent="0.25">
      <c r="B26" s="17">
        <v>20</v>
      </c>
      <c r="C26" s="18" t="s">
        <v>36</v>
      </c>
      <c r="D26" s="19">
        <f>IFERROR(VLOOKUP(C26,Modules!$C$5:$G$36,2,FALSE()),0)</f>
        <v>0.95</v>
      </c>
      <c r="E26" s="19">
        <f>IFERROR(VLOOKUP(C26,Modules!$C$5:$G$36,3,FALSE()),0)</f>
        <v>0</v>
      </c>
      <c r="F26" s="20">
        <f>IFERROR(VLOOKUP(C26,Modules!$C$5:$G$36,3,FALSE()),0)</f>
        <v>0</v>
      </c>
      <c r="G26" s="20">
        <f>IFERROR(VLOOKUP(C26,Modules!$C$5:$G$36,4,FALSE()),0)</f>
        <v>5.0000000000000044E-2</v>
      </c>
      <c r="H26" s="21" t="str">
        <f t="shared" si="0"/>
        <v>En cours</v>
      </c>
    </row>
    <row r="27" spans="2:8" ht="21.75" customHeight="1" x14ac:dyDescent="0.25">
      <c r="B27" s="12">
        <v>21</v>
      </c>
      <c r="C27" s="13" t="s">
        <v>56</v>
      </c>
      <c r="D27" s="14">
        <f>IFERROR(VLOOKUP(C27,Modules!$C$5:$G$36,2,FALSE()),0)</f>
        <v>0</v>
      </c>
      <c r="E27" s="14">
        <f>IFERROR(VLOOKUP(C27,Modules!$C$5:$G$36,3,FALSE()),0)</f>
        <v>0</v>
      </c>
      <c r="F27" s="15">
        <f>IFERROR(VLOOKUP(C27,Modules!$C$5:$G$36,3,FALSE()),0)</f>
        <v>0</v>
      </c>
      <c r="G27" s="15">
        <f>IFERROR(VLOOKUP(C27,Modules!$C$5:$G$36,4,FALSE()),0)</f>
        <v>2</v>
      </c>
      <c r="H27" s="16" t="str">
        <f t="shared" si="0"/>
        <v>À faire</v>
      </c>
    </row>
    <row r="28" spans="2:8" ht="21.75" customHeight="1" x14ac:dyDescent="0.25">
      <c r="B28" s="17">
        <v>22</v>
      </c>
      <c r="C28" s="18" t="s">
        <v>57</v>
      </c>
      <c r="D28" s="19">
        <f>IFERROR(VLOOKUP(C28,Modules!$C$5:$G$36,2,FALSE()),0)</f>
        <v>0</v>
      </c>
      <c r="E28" s="19">
        <f>IFERROR(VLOOKUP(C28,Modules!$C$5:$G$36,3,FALSE()),0)</f>
        <v>0</v>
      </c>
      <c r="F28" s="20">
        <f>IFERROR(VLOOKUP(C28,Modules!$C$5:$G$36,3,FALSE()),0)</f>
        <v>0</v>
      </c>
      <c r="G28" s="20">
        <f>IFERROR(VLOOKUP(C28,Modules!$C$5:$G$36,4,FALSE()),0)</f>
        <v>4</v>
      </c>
      <c r="H28" s="21" t="str">
        <f t="shared" si="0"/>
        <v>À faire</v>
      </c>
    </row>
    <row r="29" spans="2:8" ht="21.75" customHeight="1" x14ac:dyDescent="0.25">
      <c r="B29" s="12">
        <v>23</v>
      </c>
      <c r="C29" s="13" t="s">
        <v>37</v>
      </c>
      <c r="D29" s="14">
        <f>IFERROR(VLOOKUP(C29,Modules!$C$5:$G$36,2,FALSE()),0)</f>
        <v>0.9</v>
      </c>
      <c r="E29" s="14">
        <f>IFERROR(VLOOKUP(C29,Modules!$C$5:$G$36,3,FALSE()),0)</f>
        <v>0</v>
      </c>
      <c r="F29" s="15">
        <f>IFERROR(VLOOKUP(C29,Modules!$C$5:$G$36,3,FALSE()),0)</f>
        <v>0</v>
      </c>
      <c r="G29" s="15">
        <f>IFERROR(VLOOKUP(C29,Modules!$C$5:$G$36,4,FALSE()),0)</f>
        <v>0.19999999999999996</v>
      </c>
      <c r="H29" s="16" t="str">
        <f t="shared" si="0"/>
        <v>En cours</v>
      </c>
    </row>
    <row r="30" spans="2:8" ht="21.75" customHeight="1" x14ac:dyDescent="0.25">
      <c r="B30" s="17">
        <v>24</v>
      </c>
      <c r="C30" s="18" t="s">
        <v>38</v>
      </c>
      <c r="D30" s="19">
        <f>IFERROR(VLOOKUP(C30,Modules!$C$5:$G$36,2,FALSE()),0)</f>
        <v>0.95</v>
      </c>
      <c r="E30" s="19">
        <f>IFERROR(VLOOKUP(C30,Modules!$C$5:$G$36,3,FALSE()),0)</f>
        <v>0</v>
      </c>
      <c r="F30" s="20">
        <f>IFERROR(VLOOKUP(C30,Modules!$C$5:$G$36,3,FALSE()),0)</f>
        <v>0</v>
      </c>
      <c r="G30" s="20">
        <f>IFERROR(VLOOKUP(C30,Modules!$C$5:$G$36,4,FALSE()),0)</f>
        <v>0.20000000000000018</v>
      </c>
      <c r="H30" s="21" t="str">
        <f t="shared" si="0"/>
        <v>En cours</v>
      </c>
    </row>
    <row r="31" spans="2:8" ht="21.75" customHeight="1" x14ac:dyDescent="0.25">
      <c r="B31" s="12">
        <v>25</v>
      </c>
      <c r="C31" s="13" t="s">
        <v>39</v>
      </c>
      <c r="D31" s="14">
        <f>IFERROR(VLOOKUP(C31,Modules!$C$5:$G$36,2,FALSE()),0)</f>
        <v>0.85</v>
      </c>
      <c r="E31" s="14">
        <f>IFERROR(VLOOKUP(C31,Modules!$C$5:$G$36,3,FALSE()),0)</f>
        <v>0</v>
      </c>
      <c r="F31" s="15">
        <f>IFERROR(VLOOKUP(C31,Modules!$C$5:$G$36,3,FALSE()),0)</f>
        <v>0</v>
      </c>
      <c r="G31" s="15">
        <f>IFERROR(VLOOKUP(C31,Modules!$C$5:$G$36,4,FALSE()),0)</f>
        <v>0.45000000000000007</v>
      </c>
      <c r="H31" s="16" t="str">
        <f t="shared" si="0"/>
        <v>En cours</v>
      </c>
    </row>
    <row r="32" spans="2:8" ht="21.75" customHeight="1" x14ac:dyDescent="0.25">
      <c r="B32" s="17">
        <v>26</v>
      </c>
      <c r="C32" s="18" t="s">
        <v>40</v>
      </c>
      <c r="D32" s="19">
        <f>IFERROR(VLOOKUP(C32,Modules!$C$5:$G$36,2,FALSE()),0)</f>
        <v>0.25</v>
      </c>
      <c r="E32" s="19">
        <f>IFERROR(VLOOKUP(C32,Modules!$C$5:$G$36,3,FALSE()),0)</f>
        <v>0</v>
      </c>
      <c r="F32" s="20">
        <f>IFERROR(VLOOKUP(C32,Modules!$C$5:$G$36,3,FALSE()),0)</f>
        <v>0</v>
      </c>
      <c r="G32" s="20">
        <f>IFERROR(VLOOKUP(C32,Modules!$C$5:$G$36,4,FALSE()),0)</f>
        <v>1.5</v>
      </c>
      <c r="H32" s="21" t="str">
        <f t="shared" si="0"/>
        <v>En cours</v>
      </c>
    </row>
    <row r="33" spans="2:8" ht="21.75" customHeight="1" x14ac:dyDescent="0.25">
      <c r="B33" s="12">
        <v>27</v>
      </c>
      <c r="C33" s="13" t="s">
        <v>41</v>
      </c>
      <c r="D33" s="14">
        <f>IFERROR(VLOOKUP(C33,Modules!$C$5:$G$36,2,FALSE()),0)</f>
        <v>0.85</v>
      </c>
      <c r="E33" s="14">
        <f>IFERROR(VLOOKUP(C33,Modules!$C$5:$G$36,3,FALSE()),0)</f>
        <v>0</v>
      </c>
      <c r="F33" s="15">
        <f>IFERROR(VLOOKUP(C33,Modules!$C$5:$G$36,3,FALSE()),0)</f>
        <v>0</v>
      </c>
      <c r="G33" s="15">
        <f>IFERROR(VLOOKUP(C33,Modules!$C$5:$G$36,4,FALSE()),0)</f>
        <v>0.45000000000000007</v>
      </c>
      <c r="H33" s="16" t="str">
        <f t="shared" si="0"/>
        <v>En cours</v>
      </c>
    </row>
    <row r="34" spans="2:8" ht="21.75" customHeight="1" x14ac:dyDescent="0.25">
      <c r="B34" s="17">
        <v>28</v>
      </c>
      <c r="C34" s="18" t="s">
        <v>42</v>
      </c>
      <c r="D34" s="19">
        <f>IFERROR(VLOOKUP(C34,Modules!$C$5:$G$36,2,FALSE()),0)</f>
        <v>0.95</v>
      </c>
      <c r="E34" s="19">
        <f>IFERROR(VLOOKUP(C34,Modules!$C$5:$G$36,3,FALSE()),0)</f>
        <v>0</v>
      </c>
      <c r="F34" s="20">
        <f>IFERROR(VLOOKUP(C34,Modules!$C$5:$G$36,3,FALSE()),0)</f>
        <v>0</v>
      </c>
      <c r="G34" s="20">
        <f>IFERROR(VLOOKUP(C34,Modules!$C$5:$G$36,4,FALSE()),0)</f>
        <v>0.10000000000000009</v>
      </c>
      <c r="H34" s="21" t="str">
        <f t="shared" si="0"/>
        <v>En cours</v>
      </c>
    </row>
    <row r="35" spans="2:8" ht="21.75" customHeight="1" x14ac:dyDescent="0.25">
      <c r="B35" s="12">
        <v>29</v>
      </c>
      <c r="C35" s="13" t="s">
        <v>43</v>
      </c>
      <c r="D35" s="14">
        <f>IFERROR(VLOOKUP(C35,Modules!$C$5:$G$36,2,FALSE()),0)</f>
        <v>0.95</v>
      </c>
      <c r="E35" s="14">
        <f>IFERROR(VLOOKUP(C35,Modules!$C$5:$G$36,3,FALSE()),0)</f>
        <v>0</v>
      </c>
      <c r="F35" s="15">
        <f>IFERROR(VLOOKUP(C35,Modules!$C$5:$G$36,3,FALSE()),0)</f>
        <v>0</v>
      </c>
      <c r="G35" s="15">
        <f>IFERROR(VLOOKUP(C35,Modules!$C$5:$G$36,4,FALSE()),0)</f>
        <v>5.0000000000000044E-2</v>
      </c>
      <c r="H35" s="16" t="str">
        <f t="shared" si="0"/>
        <v>En cours</v>
      </c>
    </row>
    <row r="36" spans="2:8" ht="21.75" customHeight="1" x14ac:dyDescent="0.25">
      <c r="B36" s="17">
        <v>30</v>
      </c>
      <c r="C36" s="18" t="s">
        <v>44</v>
      </c>
      <c r="D36" s="19">
        <f>IFERROR(VLOOKUP(C36,Modules!$C$5:$G$36,2,FALSE()),0)</f>
        <v>0.9</v>
      </c>
      <c r="E36" s="19">
        <f>IFERROR(VLOOKUP(C36,Modules!$C$5:$G$36,3,FALSE()),0)</f>
        <v>0</v>
      </c>
      <c r="F36" s="20">
        <f>IFERROR(VLOOKUP(C36,Modules!$C$5:$G$36,3,FALSE()),0)</f>
        <v>0</v>
      </c>
      <c r="G36" s="20">
        <f>IFERROR(VLOOKUP(C36,Modules!$C$5:$G$36,4,FALSE()),0)</f>
        <v>0.29999999999999993</v>
      </c>
      <c r="H36" s="21" t="str">
        <f t="shared" si="0"/>
        <v>En cours</v>
      </c>
    </row>
    <row r="37" spans="2:8" ht="21.75" customHeight="1" x14ac:dyDescent="0.25">
      <c r="B37" s="12">
        <v>31</v>
      </c>
      <c r="C37" s="13" t="s">
        <v>45</v>
      </c>
      <c r="D37" s="14">
        <f>IFERROR(VLOOKUP(C37,Modules!$C$5:$G$36,2,FALSE()),0)</f>
        <v>0.7</v>
      </c>
      <c r="E37" s="14">
        <f>IFERROR(VLOOKUP(C37,Modules!$C$5:$G$36,3,FALSE()),0)</f>
        <v>0</v>
      </c>
      <c r="F37" s="15">
        <f>IFERROR(VLOOKUP(C37,Modules!$C$5:$G$36,3,FALSE()),0)</f>
        <v>0</v>
      </c>
      <c r="G37" s="15">
        <f>IFERROR(VLOOKUP(C37,Modules!$C$5:$G$36,4,FALSE()),0)</f>
        <v>0.90000000000000013</v>
      </c>
      <c r="H37" s="16" t="str">
        <f t="shared" si="0"/>
        <v>En cours</v>
      </c>
    </row>
    <row r="38" spans="2:8" ht="21.75" customHeight="1" x14ac:dyDescent="0.25">
      <c r="B38" s="17">
        <v>32</v>
      </c>
      <c r="C38" s="18" t="s">
        <v>46</v>
      </c>
      <c r="D38" s="19">
        <f>IFERROR(VLOOKUP(C38,Modules!$C$5:$G$36,2,FALSE()),0)</f>
        <v>1</v>
      </c>
      <c r="E38" s="19">
        <f>IFERROR(VLOOKUP(C38,Modules!$C$5:$G$36,3,FALSE()),0)</f>
        <v>0</v>
      </c>
      <c r="F38" s="20">
        <f>IFERROR(VLOOKUP(C38,Modules!$C$5:$G$36,3,FALSE()),0)</f>
        <v>0</v>
      </c>
      <c r="G38" s="20">
        <f>IFERROR(VLOOKUP(C38,Modules!$C$5:$G$36,4,FALSE()),0)</f>
        <v>0</v>
      </c>
      <c r="H38" s="21" t="str">
        <f t="shared" si="0"/>
        <v>Complété</v>
      </c>
    </row>
    <row r="39" spans="2:8" ht="27.75" customHeight="1" x14ac:dyDescent="0.25">
      <c r="B39" s="53" t="s">
        <v>58</v>
      </c>
      <c r="C39" s="53"/>
      <c r="D39" s="26">
        <f>AVERAGE(D7:D38)</f>
        <v>0.77499999999999991</v>
      </c>
      <c r="E39" s="26"/>
      <c r="F39" s="27">
        <f>SUM(F7:F38)</f>
        <v>0</v>
      </c>
      <c r="G39" s="27">
        <f>SUM(G7:G38)</f>
        <v>19.475000000000001</v>
      </c>
      <c r="H39" s="28" t="str">
        <f>COUNTA(C7:C38)&amp;" modules"</f>
        <v>32 modules</v>
      </c>
    </row>
  </sheetData>
  <autoFilter ref="B6:G38" xr:uid="{00000000-0009-0000-0000-000002000000}"/>
  <mergeCells count="4">
    <mergeCell ref="B2:G2"/>
    <mergeCell ref="B3:G3"/>
    <mergeCell ref="B4:G4"/>
    <mergeCell ref="B39:C39"/>
  </mergeCells>
  <conditionalFormatting sqref="D7:E38">
    <cfRule type="dataBar" priority="2">
      <dataBar>
        <cfvo type="num" val="0"/>
        <cfvo type="num" val="1"/>
        <color rgb="FF065A82"/>
      </dataBar>
      <extLst>
        <ext xmlns:x14="http://schemas.microsoft.com/office/spreadsheetml/2009/9/main" uri="{B025F937-C7B1-47D3-B67F-A62EFF666E3E}">
          <x14:id>{9AF6E836-DA66-4845-859F-67806C1C8741}</x14:id>
        </ext>
      </extLst>
    </cfRule>
  </conditionalFormatting>
  <conditionalFormatting sqref="F7:F38">
    <cfRule type="colorScale" priority="3">
      <colorScale>
        <cfvo type="min"/>
        <cfvo type="percentile" val="50"/>
        <cfvo type="max"/>
        <color rgb="FFD1FAE5"/>
        <color rgb="FFFEF3C7"/>
        <color rgb="FFFEE2E2"/>
      </colorScale>
    </cfRule>
  </conditionalFormatting>
  <conditionalFormatting sqref="G7:G38">
    <cfRule type="expression" dxfId="5" priority="4">
      <formula>$G7="Complété"</formula>
    </cfRule>
    <cfRule type="expression" dxfId="4" priority="5">
      <formula>$G7="En cours"</formula>
    </cfRule>
    <cfRule type="expression" dxfId="3" priority="6">
      <formula>$G7="À faire"</formula>
    </cfRule>
  </conditionalFormatting>
  <printOptions horizontalCentered="1"/>
  <pageMargins left="0.4" right="0.4" top="0.5" bottom="0.5"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9AF6E836-DA66-4845-859F-67806C1C8741}">
            <x14:dataBar axisPosition="none">
              <x14:cfvo type="num">
                <xm:f>0</xm:f>
              </x14:cfvo>
              <x14:cfvo type="num">
                <xm:f>1</xm:f>
              </x14:cfvo>
              <x14:negativeFillColor rgb="FF065A82"/>
            </x14:dataBar>
          </x14:cfRule>
          <xm:sqref>D7:E38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J37"/>
  <sheetViews>
    <sheetView showGridLines="0" zoomScaleNormal="100" workbookViewId="0">
      <pane xSplit="1" ySplit="4" topLeftCell="B20" activePane="bottomRight" state="frozen"/>
      <selection pane="topRight" activeCell="B1" sqref="B1"/>
      <selection pane="bottomLeft" activeCell="A5" sqref="A5"/>
      <selection pane="bottomRight" activeCell="R28" sqref="R28"/>
    </sheetView>
  </sheetViews>
  <sheetFormatPr baseColWidth="10" defaultColWidth="8.7109375" defaultRowHeight="15" x14ac:dyDescent="0.25"/>
  <cols>
    <col min="1" max="1" width="2" customWidth="1"/>
    <col min="2" max="2" width="6" customWidth="1"/>
    <col min="3" max="3" width="42" customWidth="1"/>
    <col min="4" max="6" width="14" customWidth="1"/>
    <col min="7" max="8" width="13" customWidth="1"/>
    <col min="9" max="9" width="14" customWidth="1"/>
    <col min="10" max="10" width="16.85546875" customWidth="1"/>
  </cols>
  <sheetData>
    <row r="1" spans="2:10" ht="21.75" customHeight="1" x14ac:dyDescent="0.25">
      <c r="B1" s="54" t="s">
        <v>59</v>
      </c>
      <c r="C1" s="54"/>
      <c r="D1" s="54"/>
      <c r="E1" s="54"/>
      <c r="F1" s="54"/>
      <c r="G1" s="54"/>
      <c r="H1" s="54"/>
      <c r="I1" s="54"/>
    </row>
    <row r="2" spans="2:10" ht="31.5" customHeight="1" x14ac:dyDescent="0.25">
      <c r="B2" s="72" t="s">
        <v>60</v>
      </c>
      <c r="C2" s="72"/>
      <c r="D2" s="72"/>
      <c r="E2" s="72"/>
      <c r="F2" s="72"/>
      <c r="G2" s="72"/>
      <c r="H2" s="72"/>
      <c r="I2" s="72"/>
    </row>
    <row r="3" spans="2:10" ht="18" customHeight="1" x14ac:dyDescent="0.25">
      <c r="B3" s="73" t="s">
        <v>61</v>
      </c>
      <c r="C3" s="73"/>
      <c r="D3" s="73"/>
      <c r="E3" s="73"/>
      <c r="F3" s="73"/>
      <c r="G3" s="73"/>
      <c r="H3" s="73"/>
      <c r="I3" s="73"/>
    </row>
    <row r="4" spans="2:10" ht="36" customHeight="1" x14ac:dyDescent="0.25">
      <c r="B4" s="29" t="s">
        <v>17</v>
      </c>
      <c r="C4" s="29" t="s">
        <v>18</v>
      </c>
      <c r="D4" s="29" t="s">
        <v>19</v>
      </c>
      <c r="E4" s="29" t="s">
        <v>320</v>
      </c>
      <c r="F4" s="29" t="s">
        <v>8</v>
      </c>
      <c r="G4" s="29" t="s">
        <v>20</v>
      </c>
      <c r="H4" s="29" t="s">
        <v>62</v>
      </c>
      <c r="I4" s="29" t="s">
        <v>63</v>
      </c>
      <c r="J4" s="29" t="s">
        <v>21</v>
      </c>
    </row>
    <row r="5" spans="2:10" ht="21.75" customHeight="1" x14ac:dyDescent="0.25">
      <c r="B5" s="12">
        <v>1</v>
      </c>
      <c r="C5" s="13" t="s">
        <v>22</v>
      </c>
      <c r="D5" s="14">
        <v>0.9</v>
      </c>
      <c r="E5" s="14">
        <v>0</v>
      </c>
      <c r="F5" s="15">
        <f t="shared" ref="F5:F36" si="0">G5*(1-D5)</f>
        <v>4.9999999999999989E-2</v>
      </c>
      <c r="G5" s="15">
        <v>0.5</v>
      </c>
      <c r="H5" s="30" t="s">
        <v>64</v>
      </c>
      <c r="I5" s="31" t="s">
        <v>64</v>
      </c>
      <c r="J5" s="16" t="str">
        <f t="shared" ref="J5:J36" si="1">IF(D5=1,"Complété",IF(D5=0,"À faire","En cours"))</f>
        <v>En cours</v>
      </c>
    </row>
    <row r="6" spans="2:10" ht="21.75" customHeight="1" x14ac:dyDescent="0.25">
      <c r="B6" s="17">
        <v>2</v>
      </c>
      <c r="C6" s="18" t="s">
        <v>23</v>
      </c>
      <c r="D6" s="19">
        <v>1</v>
      </c>
      <c r="E6" s="19">
        <v>0</v>
      </c>
      <c r="F6" s="20">
        <f t="shared" si="0"/>
        <v>0</v>
      </c>
      <c r="G6" s="20">
        <v>0</v>
      </c>
      <c r="H6" s="32" t="s">
        <v>64</v>
      </c>
      <c r="I6" s="33" t="s">
        <v>64</v>
      </c>
      <c r="J6" s="21" t="str">
        <f t="shared" si="1"/>
        <v>Complété</v>
      </c>
    </row>
    <row r="7" spans="2:10" ht="21.75" customHeight="1" x14ac:dyDescent="0.25">
      <c r="B7" s="12">
        <v>3</v>
      </c>
      <c r="C7" s="13" t="s">
        <v>24</v>
      </c>
      <c r="D7" s="14">
        <v>0.9</v>
      </c>
      <c r="E7" s="14">
        <v>0</v>
      </c>
      <c r="F7" s="15">
        <f t="shared" si="0"/>
        <v>4.9999999999999989E-2</v>
      </c>
      <c r="G7" s="15">
        <v>0.5</v>
      </c>
      <c r="H7" s="30" t="s">
        <v>64</v>
      </c>
      <c r="I7" s="31" t="s">
        <v>64</v>
      </c>
      <c r="J7" s="16" t="str">
        <f t="shared" si="1"/>
        <v>En cours</v>
      </c>
    </row>
    <row r="8" spans="2:10" ht="21.75" customHeight="1" x14ac:dyDescent="0.25">
      <c r="B8" s="17">
        <v>4</v>
      </c>
      <c r="C8" s="18" t="s">
        <v>25</v>
      </c>
      <c r="D8" s="19">
        <v>1</v>
      </c>
      <c r="E8" s="19">
        <v>0</v>
      </c>
      <c r="F8" s="20">
        <f t="shared" si="0"/>
        <v>0</v>
      </c>
      <c r="G8" s="20">
        <v>0</v>
      </c>
      <c r="H8" s="32" t="s">
        <v>64</v>
      </c>
      <c r="I8" s="33" t="s">
        <v>64</v>
      </c>
      <c r="J8" s="21" t="str">
        <f t="shared" si="1"/>
        <v>Complété</v>
      </c>
    </row>
    <row r="9" spans="2:10" ht="21.75" customHeight="1" x14ac:dyDescent="0.25">
      <c r="B9" s="12">
        <v>5</v>
      </c>
      <c r="C9" s="13" t="s">
        <v>26</v>
      </c>
      <c r="D9" s="14">
        <v>1</v>
      </c>
      <c r="E9" s="14">
        <v>0</v>
      </c>
      <c r="F9" s="15">
        <f t="shared" si="0"/>
        <v>0</v>
      </c>
      <c r="G9" s="15">
        <v>0</v>
      </c>
      <c r="H9" s="30" t="s">
        <v>64</v>
      </c>
      <c r="I9" s="31" t="s">
        <v>64</v>
      </c>
      <c r="J9" s="16" t="str">
        <f t="shared" si="1"/>
        <v>Complété</v>
      </c>
    </row>
    <row r="10" spans="2:10" ht="21.75" customHeight="1" x14ac:dyDescent="0.25">
      <c r="B10" s="17">
        <v>6</v>
      </c>
      <c r="C10" s="18" t="s">
        <v>27</v>
      </c>
      <c r="D10" s="19">
        <v>1</v>
      </c>
      <c r="E10" s="19">
        <v>0</v>
      </c>
      <c r="F10" s="20">
        <f t="shared" si="0"/>
        <v>0</v>
      </c>
      <c r="G10" s="20">
        <v>0</v>
      </c>
      <c r="H10" s="32" t="s">
        <v>64</v>
      </c>
      <c r="I10" s="33" t="s">
        <v>64</v>
      </c>
      <c r="J10" s="21" t="str">
        <f t="shared" si="1"/>
        <v>Complété</v>
      </c>
    </row>
    <row r="11" spans="2:10" ht="21.75" customHeight="1" x14ac:dyDescent="0.25">
      <c r="B11" s="12">
        <v>7</v>
      </c>
      <c r="C11" s="13" t="s">
        <v>28</v>
      </c>
      <c r="D11" s="14">
        <v>1</v>
      </c>
      <c r="E11" s="14">
        <v>0</v>
      </c>
      <c r="F11" s="15">
        <f t="shared" si="0"/>
        <v>0</v>
      </c>
      <c r="G11" s="15">
        <v>1</v>
      </c>
      <c r="H11" s="30" t="s">
        <v>64</v>
      </c>
      <c r="I11" s="31" t="s">
        <v>64</v>
      </c>
      <c r="J11" s="16" t="str">
        <f t="shared" si="1"/>
        <v>Complété</v>
      </c>
    </row>
    <row r="12" spans="2:10" ht="21.75" customHeight="1" x14ac:dyDescent="0.25">
      <c r="B12" s="17">
        <v>8</v>
      </c>
      <c r="C12" s="18" t="s">
        <v>29</v>
      </c>
      <c r="D12" s="19">
        <v>1</v>
      </c>
      <c r="E12" s="19">
        <v>0</v>
      </c>
      <c r="F12" s="20">
        <f t="shared" si="0"/>
        <v>0</v>
      </c>
      <c r="G12" s="20">
        <v>1</v>
      </c>
      <c r="H12" s="32" t="s">
        <v>64</v>
      </c>
      <c r="I12" s="33" t="s">
        <v>64</v>
      </c>
      <c r="J12" s="21" t="str">
        <f t="shared" si="1"/>
        <v>Complété</v>
      </c>
    </row>
    <row r="13" spans="2:10" ht="21.75" customHeight="1" x14ac:dyDescent="0.25">
      <c r="B13" s="12">
        <v>9</v>
      </c>
      <c r="C13" s="13" t="s">
        <v>30</v>
      </c>
      <c r="D13" s="14">
        <v>1</v>
      </c>
      <c r="E13" s="14">
        <v>0</v>
      </c>
      <c r="F13" s="15">
        <f t="shared" si="0"/>
        <v>0</v>
      </c>
      <c r="G13" s="15">
        <v>1</v>
      </c>
      <c r="H13" s="30" t="s">
        <v>64</v>
      </c>
      <c r="I13" s="31" t="s">
        <v>64</v>
      </c>
      <c r="J13" s="16" t="str">
        <f t="shared" si="1"/>
        <v>Complété</v>
      </c>
    </row>
    <row r="14" spans="2:10" ht="21.75" customHeight="1" x14ac:dyDescent="0.25">
      <c r="B14" s="17">
        <v>10</v>
      </c>
      <c r="C14" s="18" t="s">
        <v>31</v>
      </c>
      <c r="D14" s="19">
        <v>1</v>
      </c>
      <c r="E14" s="19">
        <v>0</v>
      </c>
      <c r="F14" s="20">
        <f t="shared" si="0"/>
        <v>0</v>
      </c>
      <c r="G14" s="20">
        <v>1</v>
      </c>
      <c r="H14" s="32" t="s">
        <v>64</v>
      </c>
      <c r="I14" s="33" t="s">
        <v>64</v>
      </c>
      <c r="J14" s="21" t="str">
        <f t="shared" si="1"/>
        <v>Complété</v>
      </c>
    </row>
    <row r="15" spans="2:10" ht="21.75" customHeight="1" x14ac:dyDescent="0.25">
      <c r="B15" s="12">
        <v>11</v>
      </c>
      <c r="C15" s="13" t="s">
        <v>32</v>
      </c>
      <c r="D15" s="14">
        <v>1</v>
      </c>
      <c r="E15" s="14">
        <v>0</v>
      </c>
      <c r="F15" s="15">
        <f t="shared" si="0"/>
        <v>0</v>
      </c>
      <c r="G15" s="15">
        <v>1</v>
      </c>
      <c r="H15" s="30" t="s">
        <v>64</v>
      </c>
      <c r="I15" s="31" t="s">
        <v>64</v>
      </c>
      <c r="J15" s="16" t="str">
        <f t="shared" si="1"/>
        <v>Complété</v>
      </c>
    </row>
    <row r="16" spans="2:10" ht="21.75" customHeight="1" x14ac:dyDescent="0.25">
      <c r="B16" s="17">
        <v>12</v>
      </c>
      <c r="C16" s="18" t="s">
        <v>33</v>
      </c>
      <c r="D16" s="19">
        <v>0.9</v>
      </c>
      <c r="E16" s="19">
        <v>0</v>
      </c>
      <c r="F16" s="20">
        <f t="shared" si="0"/>
        <v>9.9999999999999978E-2</v>
      </c>
      <c r="G16" s="20">
        <v>1</v>
      </c>
      <c r="H16" s="32" t="s">
        <v>64</v>
      </c>
      <c r="I16" s="33" t="s">
        <v>64</v>
      </c>
      <c r="J16" s="21" t="str">
        <f t="shared" si="1"/>
        <v>En cours</v>
      </c>
    </row>
    <row r="17" spans="2:10" ht="21.75" customHeight="1" x14ac:dyDescent="0.25">
      <c r="B17" s="12">
        <v>13</v>
      </c>
      <c r="C17" s="13" t="s">
        <v>51</v>
      </c>
      <c r="D17" s="14">
        <v>0.95</v>
      </c>
      <c r="E17" s="14">
        <v>0</v>
      </c>
      <c r="F17" s="15">
        <f t="shared" si="0"/>
        <v>2.5000000000000022E-2</v>
      </c>
      <c r="G17" s="15">
        <v>0.5</v>
      </c>
      <c r="H17" s="12" t="s">
        <v>65</v>
      </c>
      <c r="I17" s="31" t="s">
        <v>64</v>
      </c>
      <c r="J17" s="16" t="str">
        <f t="shared" si="1"/>
        <v>En cours</v>
      </c>
    </row>
    <row r="18" spans="2:10" ht="21.75" customHeight="1" x14ac:dyDescent="0.25">
      <c r="B18" s="17">
        <v>14</v>
      </c>
      <c r="C18" s="18" t="s">
        <v>52</v>
      </c>
      <c r="D18" s="19">
        <v>0.9</v>
      </c>
      <c r="E18" s="19">
        <v>0</v>
      </c>
      <c r="F18" s="20">
        <f t="shared" si="0"/>
        <v>4.9999999999999989E-2</v>
      </c>
      <c r="G18" s="20">
        <v>0.5</v>
      </c>
      <c r="H18" s="17" t="s">
        <v>65</v>
      </c>
      <c r="I18" s="33" t="s">
        <v>64</v>
      </c>
      <c r="J18" s="21" t="str">
        <f t="shared" si="1"/>
        <v>En cours</v>
      </c>
    </row>
    <row r="19" spans="2:10" ht="21.75" customHeight="1" x14ac:dyDescent="0.25">
      <c r="B19" s="12">
        <v>15</v>
      </c>
      <c r="C19" s="13" t="s">
        <v>34</v>
      </c>
      <c r="D19" s="14">
        <v>1</v>
      </c>
      <c r="E19" s="14">
        <v>0</v>
      </c>
      <c r="F19" s="15">
        <f t="shared" si="0"/>
        <v>0</v>
      </c>
      <c r="G19" s="15">
        <v>1</v>
      </c>
      <c r="H19" s="30" t="s">
        <v>64</v>
      </c>
      <c r="I19" s="31" t="s">
        <v>64</v>
      </c>
      <c r="J19" s="16" t="str">
        <f t="shared" si="1"/>
        <v>Complété</v>
      </c>
    </row>
    <row r="20" spans="2:10" ht="21.75" customHeight="1" x14ac:dyDescent="0.25">
      <c r="B20" s="17">
        <v>16</v>
      </c>
      <c r="C20" s="18" t="s">
        <v>53</v>
      </c>
      <c r="D20" s="19">
        <v>0</v>
      </c>
      <c r="E20" s="19">
        <v>0</v>
      </c>
      <c r="F20" s="20">
        <f t="shared" si="0"/>
        <v>1</v>
      </c>
      <c r="G20" s="20">
        <v>1</v>
      </c>
      <c r="H20" s="17" t="s">
        <v>65</v>
      </c>
      <c r="I20" s="33" t="s">
        <v>64</v>
      </c>
      <c r="J20" s="21" t="str">
        <f t="shared" si="1"/>
        <v>À faire</v>
      </c>
    </row>
    <row r="21" spans="2:10" ht="21.75" customHeight="1" x14ac:dyDescent="0.25">
      <c r="B21" s="12">
        <v>17</v>
      </c>
      <c r="C21" s="13" t="s">
        <v>54</v>
      </c>
      <c r="D21" s="14">
        <v>0</v>
      </c>
      <c r="E21" s="14">
        <v>0</v>
      </c>
      <c r="F21" s="15">
        <f t="shared" si="0"/>
        <v>5</v>
      </c>
      <c r="G21" s="15">
        <v>5</v>
      </c>
      <c r="H21" s="12" t="s">
        <v>65</v>
      </c>
      <c r="I21" s="31" t="s">
        <v>64</v>
      </c>
      <c r="J21" s="16" t="str">
        <f t="shared" si="1"/>
        <v>À faire</v>
      </c>
    </row>
    <row r="22" spans="2:10" ht="21.75" customHeight="1" x14ac:dyDescent="0.25">
      <c r="B22" s="17">
        <v>18</v>
      </c>
      <c r="C22" s="18" t="s">
        <v>55</v>
      </c>
      <c r="D22" s="19">
        <v>0</v>
      </c>
      <c r="E22" s="19">
        <v>0</v>
      </c>
      <c r="F22" s="20">
        <f t="shared" si="0"/>
        <v>3</v>
      </c>
      <c r="G22" s="20">
        <v>3</v>
      </c>
      <c r="H22" s="17" t="s">
        <v>65</v>
      </c>
      <c r="I22" s="33" t="s">
        <v>64</v>
      </c>
      <c r="J22" s="21" t="str">
        <f t="shared" si="1"/>
        <v>À faire</v>
      </c>
    </row>
    <row r="23" spans="2:10" ht="21.75" customHeight="1" x14ac:dyDescent="0.25">
      <c r="B23" s="12">
        <v>19</v>
      </c>
      <c r="C23" s="13" t="s">
        <v>35</v>
      </c>
      <c r="D23" s="14">
        <v>1</v>
      </c>
      <c r="E23" s="14">
        <v>0</v>
      </c>
      <c r="F23" s="15">
        <f t="shared" si="0"/>
        <v>0</v>
      </c>
      <c r="G23" s="15">
        <v>2</v>
      </c>
      <c r="H23" s="30" t="s">
        <v>64</v>
      </c>
      <c r="I23" s="31" t="s">
        <v>64</v>
      </c>
      <c r="J23" s="16" t="str">
        <f t="shared" si="1"/>
        <v>Complété</v>
      </c>
    </row>
    <row r="24" spans="2:10" ht="21.75" customHeight="1" x14ac:dyDescent="0.25">
      <c r="B24" s="17">
        <v>20</v>
      </c>
      <c r="C24" s="18" t="s">
        <v>36</v>
      </c>
      <c r="D24" s="19">
        <v>0.95</v>
      </c>
      <c r="E24" s="19">
        <v>0</v>
      </c>
      <c r="F24" s="20">
        <f t="shared" si="0"/>
        <v>5.0000000000000044E-2</v>
      </c>
      <c r="G24" s="20">
        <v>1</v>
      </c>
      <c r="H24" s="32" t="s">
        <v>64</v>
      </c>
      <c r="I24" s="33" t="s">
        <v>64</v>
      </c>
      <c r="J24" s="21" t="str">
        <f t="shared" si="1"/>
        <v>En cours</v>
      </c>
    </row>
    <row r="25" spans="2:10" ht="21.75" customHeight="1" x14ac:dyDescent="0.25">
      <c r="B25" s="12">
        <v>21</v>
      </c>
      <c r="C25" s="13" t="s">
        <v>56</v>
      </c>
      <c r="D25" s="14">
        <v>0</v>
      </c>
      <c r="E25" s="14">
        <v>0</v>
      </c>
      <c r="F25" s="15">
        <f t="shared" si="0"/>
        <v>2</v>
      </c>
      <c r="G25" s="15">
        <v>2</v>
      </c>
      <c r="H25" s="12" t="s">
        <v>65</v>
      </c>
      <c r="I25" s="31" t="s">
        <v>64</v>
      </c>
      <c r="J25" s="16" t="str">
        <f t="shared" si="1"/>
        <v>À faire</v>
      </c>
    </row>
    <row r="26" spans="2:10" ht="21.75" customHeight="1" x14ac:dyDescent="0.25">
      <c r="B26" s="17">
        <v>22</v>
      </c>
      <c r="C26" s="18" t="s">
        <v>57</v>
      </c>
      <c r="D26" s="19">
        <v>0</v>
      </c>
      <c r="E26" s="19">
        <v>0</v>
      </c>
      <c r="F26" s="20">
        <f t="shared" si="0"/>
        <v>4</v>
      </c>
      <c r="G26" s="20">
        <v>4</v>
      </c>
      <c r="H26" s="17" t="s">
        <v>65</v>
      </c>
      <c r="I26" s="33" t="s">
        <v>64</v>
      </c>
      <c r="J26" s="21" t="str">
        <f t="shared" si="1"/>
        <v>À faire</v>
      </c>
    </row>
    <row r="27" spans="2:10" ht="21.75" customHeight="1" x14ac:dyDescent="0.25">
      <c r="B27" s="12">
        <v>23</v>
      </c>
      <c r="C27" s="13" t="s">
        <v>37</v>
      </c>
      <c r="D27" s="14">
        <v>0.9</v>
      </c>
      <c r="E27" s="14">
        <v>0</v>
      </c>
      <c r="F27" s="15">
        <f t="shared" si="0"/>
        <v>0.19999999999999996</v>
      </c>
      <c r="G27" s="15">
        <v>2</v>
      </c>
      <c r="H27" s="30" t="s">
        <v>64</v>
      </c>
      <c r="I27" s="31" t="s">
        <v>64</v>
      </c>
      <c r="J27" s="16" t="str">
        <f t="shared" si="1"/>
        <v>En cours</v>
      </c>
    </row>
    <row r="28" spans="2:10" ht="21.75" customHeight="1" x14ac:dyDescent="0.25">
      <c r="B28" s="17">
        <v>24</v>
      </c>
      <c r="C28" s="18" t="s">
        <v>38</v>
      </c>
      <c r="D28" s="19">
        <v>0.95</v>
      </c>
      <c r="E28" s="19">
        <v>0</v>
      </c>
      <c r="F28" s="20">
        <f t="shared" si="0"/>
        <v>0.20000000000000018</v>
      </c>
      <c r="G28" s="20">
        <v>4</v>
      </c>
      <c r="H28" s="32" t="s">
        <v>64</v>
      </c>
      <c r="I28" s="33" t="s">
        <v>64</v>
      </c>
      <c r="J28" s="21" t="str">
        <f t="shared" si="1"/>
        <v>En cours</v>
      </c>
    </row>
    <row r="29" spans="2:10" ht="21.75" customHeight="1" x14ac:dyDescent="0.25">
      <c r="B29" s="12">
        <v>25</v>
      </c>
      <c r="C29" s="13" t="s">
        <v>39</v>
      </c>
      <c r="D29" s="14">
        <v>0.85</v>
      </c>
      <c r="E29" s="14">
        <v>0</v>
      </c>
      <c r="F29" s="15">
        <f t="shared" si="0"/>
        <v>0.45000000000000007</v>
      </c>
      <c r="G29" s="15">
        <v>3</v>
      </c>
      <c r="H29" s="30" t="s">
        <v>64</v>
      </c>
      <c r="I29" s="31" t="s">
        <v>64</v>
      </c>
      <c r="J29" s="16" t="str">
        <f t="shared" si="1"/>
        <v>En cours</v>
      </c>
    </row>
    <row r="30" spans="2:10" ht="21.75" customHeight="1" x14ac:dyDescent="0.25">
      <c r="B30" s="17">
        <v>26</v>
      </c>
      <c r="C30" s="18" t="s">
        <v>40</v>
      </c>
      <c r="D30" s="19">
        <v>0.25</v>
      </c>
      <c r="E30" s="19">
        <v>0</v>
      </c>
      <c r="F30" s="20">
        <f t="shared" si="0"/>
        <v>1.5</v>
      </c>
      <c r="G30" s="20">
        <v>2</v>
      </c>
      <c r="H30" s="32" t="s">
        <v>64</v>
      </c>
      <c r="I30" s="33" t="s">
        <v>64</v>
      </c>
      <c r="J30" s="21" t="str">
        <f t="shared" si="1"/>
        <v>En cours</v>
      </c>
    </row>
    <row r="31" spans="2:10" ht="21.75" customHeight="1" x14ac:dyDescent="0.25">
      <c r="B31" s="12">
        <v>27</v>
      </c>
      <c r="C31" s="13" t="s">
        <v>41</v>
      </c>
      <c r="D31" s="14">
        <v>0.85</v>
      </c>
      <c r="E31" s="14">
        <v>0</v>
      </c>
      <c r="F31" s="15">
        <f t="shared" si="0"/>
        <v>0.45000000000000007</v>
      </c>
      <c r="G31" s="15">
        <v>3</v>
      </c>
      <c r="H31" s="30" t="s">
        <v>64</v>
      </c>
      <c r="I31" s="31" t="s">
        <v>64</v>
      </c>
      <c r="J31" s="16" t="str">
        <f t="shared" si="1"/>
        <v>En cours</v>
      </c>
    </row>
    <row r="32" spans="2:10" ht="21.75" customHeight="1" x14ac:dyDescent="0.25">
      <c r="B32" s="17">
        <v>28</v>
      </c>
      <c r="C32" s="18" t="s">
        <v>42</v>
      </c>
      <c r="D32" s="19">
        <v>0.95</v>
      </c>
      <c r="E32" s="19">
        <v>0</v>
      </c>
      <c r="F32" s="20">
        <f t="shared" si="0"/>
        <v>0.10000000000000009</v>
      </c>
      <c r="G32" s="20">
        <v>2</v>
      </c>
      <c r="H32" s="32" t="s">
        <v>64</v>
      </c>
      <c r="I32" s="33" t="s">
        <v>64</v>
      </c>
      <c r="J32" s="21" t="str">
        <f t="shared" si="1"/>
        <v>En cours</v>
      </c>
    </row>
    <row r="33" spans="2:10" ht="21.75" customHeight="1" x14ac:dyDescent="0.25">
      <c r="B33" s="12">
        <v>29</v>
      </c>
      <c r="C33" s="13" t="s">
        <v>43</v>
      </c>
      <c r="D33" s="14">
        <v>0.95</v>
      </c>
      <c r="E33" s="14">
        <v>0</v>
      </c>
      <c r="F33" s="15">
        <f t="shared" si="0"/>
        <v>5.0000000000000044E-2</v>
      </c>
      <c r="G33" s="15">
        <v>1</v>
      </c>
      <c r="H33" s="30" t="s">
        <v>64</v>
      </c>
      <c r="I33" s="31" t="s">
        <v>64</v>
      </c>
      <c r="J33" s="16" t="str">
        <f t="shared" si="1"/>
        <v>En cours</v>
      </c>
    </row>
    <row r="34" spans="2:10" ht="21.75" customHeight="1" x14ac:dyDescent="0.25">
      <c r="B34" s="17">
        <v>30</v>
      </c>
      <c r="C34" s="18" t="s">
        <v>44</v>
      </c>
      <c r="D34" s="19">
        <v>0.9</v>
      </c>
      <c r="E34" s="19">
        <v>0</v>
      </c>
      <c r="F34" s="20">
        <f t="shared" si="0"/>
        <v>0.29999999999999993</v>
      </c>
      <c r="G34" s="20">
        <v>3</v>
      </c>
      <c r="H34" s="32" t="s">
        <v>64</v>
      </c>
      <c r="I34" s="33" t="s">
        <v>64</v>
      </c>
      <c r="J34" s="21" t="str">
        <f t="shared" si="1"/>
        <v>En cours</v>
      </c>
    </row>
    <row r="35" spans="2:10" ht="21.75" customHeight="1" x14ac:dyDescent="0.25">
      <c r="B35" s="12">
        <v>31</v>
      </c>
      <c r="C35" s="13" t="s">
        <v>45</v>
      </c>
      <c r="D35" s="14">
        <v>0.7</v>
      </c>
      <c r="E35" s="14">
        <v>0</v>
      </c>
      <c r="F35" s="15">
        <f t="shared" si="0"/>
        <v>0.90000000000000013</v>
      </c>
      <c r="G35" s="15">
        <v>3</v>
      </c>
      <c r="H35" s="30" t="s">
        <v>64</v>
      </c>
      <c r="I35" s="31" t="s">
        <v>64</v>
      </c>
      <c r="J35" s="16" t="str">
        <f t="shared" si="1"/>
        <v>En cours</v>
      </c>
    </row>
    <row r="36" spans="2:10" ht="21.75" customHeight="1" x14ac:dyDescent="0.25">
      <c r="B36" s="17">
        <v>32</v>
      </c>
      <c r="C36" s="18" t="s">
        <v>46</v>
      </c>
      <c r="D36" s="19">
        <v>1</v>
      </c>
      <c r="E36" s="19">
        <v>0</v>
      </c>
      <c r="F36" s="20">
        <f t="shared" si="0"/>
        <v>0</v>
      </c>
      <c r="G36" s="20">
        <v>8</v>
      </c>
      <c r="H36" s="32" t="s">
        <v>64</v>
      </c>
      <c r="I36" s="33" t="s">
        <v>64</v>
      </c>
      <c r="J36" s="21" t="str">
        <f t="shared" si="1"/>
        <v>Complété</v>
      </c>
    </row>
    <row r="37" spans="2:10" ht="27.75" customHeight="1" x14ac:dyDescent="0.25">
      <c r="B37" s="74" t="s">
        <v>66</v>
      </c>
      <c r="C37" s="74"/>
      <c r="D37" s="34">
        <f>AVERAGE(D5:D36)</f>
        <v>0.77499999999999991</v>
      </c>
      <c r="E37" s="34"/>
      <c r="F37" s="35">
        <f>SUM(F5:F36)</f>
        <v>19.475000000000001</v>
      </c>
      <c r="G37" s="35">
        <f>SUM(G5:G36)</f>
        <v>58</v>
      </c>
      <c r="H37" s="36">
        <f>COUNTIF(H5:H36,"✓ Oui")</f>
        <v>25</v>
      </c>
      <c r="I37" s="36">
        <f>COUNTIF(I5:I36,"✓ Oui")</f>
        <v>32</v>
      </c>
      <c r="J37" s="36" t="str">
        <f>COUNTA(C5:C36)&amp;" modules"</f>
        <v>32 modules</v>
      </c>
    </row>
  </sheetData>
  <autoFilter ref="B4:I36" xr:uid="{00000000-0009-0000-0000-000003000000}"/>
  <mergeCells count="4">
    <mergeCell ref="B1:I1"/>
    <mergeCell ref="B2:I2"/>
    <mergeCell ref="B3:I3"/>
    <mergeCell ref="B37:C37"/>
  </mergeCells>
  <conditionalFormatting sqref="D5:E36">
    <cfRule type="dataBar" priority="2">
      <dataBar>
        <cfvo type="num" val="0"/>
        <cfvo type="num" val="1"/>
        <color rgb="FF065A82"/>
      </dataBar>
      <extLst>
        <ext xmlns:x14="http://schemas.microsoft.com/office/spreadsheetml/2009/9/main" uri="{B025F937-C7B1-47D3-B67F-A62EFF666E3E}">
          <x14:id>{FEC09E8F-687F-4C34-80F0-28F16850A026}</x14:id>
        </ext>
      </extLst>
    </cfRule>
  </conditionalFormatting>
  <conditionalFormatting sqref="F5:F36">
    <cfRule type="colorScale" priority="3">
      <colorScale>
        <cfvo type="min"/>
        <cfvo type="percentile" val="50"/>
        <cfvo type="max"/>
        <color rgb="FFD1FAE5"/>
        <color rgb="FFFEF3C7"/>
        <color rgb="FFFEE2E2"/>
      </colorScale>
    </cfRule>
  </conditionalFormatting>
  <conditionalFormatting sqref="I5:I36">
    <cfRule type="expression" dxfId="2" priority="4">
      <formula>$I5="Complété"</formula>
    </cfRule>
    <cfRule type="expression" dxfId="1" priority="5">
      <formula>$I5="En cours"</formula>
    </cfRule>
    <cfRule type="expression" dxfId="0" priority="6">
      <formula>$I5="À faire"</formula>
    </cfRule>
  </conditionalFormatting>
  <printOptions horizontalCentered="1"/>
  <pageMargins left="0.4" right="0.4" top="0.5" bottom="0.5"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FEC09E8F-687F-4C34-80F0-28F16850A026}">
            <x14:dataBar axisPosition="none">
              <x14:cfvo type="num">
                <xm:f>0</xm:f>
              </x14:cfvo>
              <x14:cfvo type="num">
                <xm:f>1</xm:f>
              </x14:cfvo>
              <x14:negativeFillColor rgb="FF065A82"/>
            </x14:dataBar>
          </x14:cfRule>
          <xm:sqref>D5:E36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3819-2709-41F0-BBCF-998ECD9C2B9E}">
  <dimension ref="A1:G29"/>
  <sheetViews>
    <sheetView workbookViewId="0">
      <selection activeCell="A4" sqref="A4"/>
    </sheetView>
  </sheetViews>
  <sheetFormatPr baseColWidth="10" defaultRowHeight="15" x14ac:dyDescent="0.25"/>
  <cols>
    <col min="1" max="1" width="18.28515625" bestFit="1" customWidth="1"/>
    <col min="2" max="3" width="12.7109375" customWidth="1"/>
    <col min="4" max="4" width="17.85546875" bestFit="1" customWidth="1"/>
    <col min="5" max="5" width="25.5703125" bestFit="1" customWidth="1"/>
    <col min="6" max="6" width="18" bestFit="1" customWidth="1"/>
    <col min="7" max="7" width="25.42578125" bestFit="1" customWidth="1"/>
  </cols>
  <sheetData>
    <row r="1" spans="1:7" ht="20.25" x14ac:dyDescent="0.25">
      <c r="A1" s="75" t="s">
        <v>67</v>
      </c>
      <c r="B1" s="75"/>
      <c r="C1" s="75"/>
      <c r="D1" s="75"/>
      <c r="E1" s="75"/>
      <c r="F1" s="75"/>
      <c r="G1" s="75"/>
    </row>
    <row r="3" spans="1:7" x14ac:dyDescent="0.25">
      <c r="A3" s="37" t="s">
        <v>68</v>
      </c>
      <c r="B3" s="37" t="s">
        <v>69</v>
      </c>
      <c r="C3" s="37" t="s">
        <v>70</v>
      </c>
      <c r="D3" s="37" t="s">
        <v>71</v>
      </c>
      <c r="E3" s="37" t="s">
        <v>72</v>
      </c>
      <c r="F3" s="37" t="s">
        <v>73</v>
      </c>
      <c r="G3" s="37" t="s">
        <v>74</v>
      </c>
    </row>
    <row r="4" spans="1:7" x14ac:dyDescent="0.25">
      <c r="A4" s="38" t="s">
        <v>75</v>
      </c>
      <c r="B4" s="39" t="s">
        <v>76</v>
      </c>
      <c r="C4" s="39">
        <v>2010</v>
      </c>
      <c r="D4" s="39" t="s">
        <v>77</v>
      </c>
      <c r="E4" s="40" t="s">
        <v>78</v>
      </c>
      <c r="F4" s="41" t="s">
        <v>79</v>
      </c>
      <c r="G4" s="39" t="s">
        <v>80</v>
      </c>
    </row>
    <row r="5" spans="1:7" x14ac:dyDescent="0.25">
      <c r="A5" s="38" t="s">
        <v>81</v>
      </c>
      <c r="B5" s="39" t="s">
        <v>82</v>
      </c>
      <c r="C5" s="39">
        <v>2006</v>
      </c>
      <c r="D5" s="39" t="s">
        <v>83</v>
      </c>
      <c r="E5" s="40" t="s">
        <v>84</v>
      </c>
      <c r="F5" s="41" t="s">
        <v>79</v>
      </c>
      <c r="G5" s="39" t="s">
        <v>80</v>
      </c>
    </row>
    <row r="6" spans="1:7" x14ac:dyDescent="0.25">
      <c r="A6" s="38" t="s">
        <v>85</v>
      </c>
      <c r="B6" s="39" t="s">
        <v>86</v>
      </c>
      <c r="C6" s="39">
        <v>2009</v>
      </c>
      <c r="D6" s="39" t="s">
        <v>87</v>
      </c>
      <c r="E6" s="40" t="s">
        <v>88</v>
      </c>
      <c r="F6" s="41" t="s">
        <v>79</v>
      </c>
      <c r="G6" s="39" t="s">
        <v>89</v>
      </c>
    </row>
    <row r="7" spans="1:7" x14ac:dyDescent="0.25">
      <c r="A7" s="38" t="s">
        <v>90</v>
      </c>
      <c r="B7" s="39" t="s">
        <v>91</v>
      </c>
      <c r="C7" s="39">
        <v>1998</v>
      </c>
      <c r="D7" s="39" t="s">
        <v>92</v>
      </c>
      <c r="E7" s="40" t="s">
        <v>93</v>
      </c>
      <c r="F7" s="41" t="s">
        <v>79</v>
      </c>
      <c r="G7" s="39" t="s">
        <v>94</v>
      </c>
    </row>
    <row r="8" spans="1:7" x14ac:dyDescent="0.25">
      <c r="A8" s="38" t="s">
        <v>95</v>
      </c>
      <c r="B8" s="39" t="s">
        <v>96</v>
      </c>
      <c r="C8" s="39">
        <v>2000</v>
      </c>
      <c r="D8" s="39" t="s">
        <v>97</v>
      </c>
      <c r="E8" s="42" t="s">
        <v>98</v>
      </c>
      <c r="F8" s="40" t="s">
        <v>99</v>
      </c>
      <c r="G8" s="39" t="s">
        <v>100</v>
      </c>
    </row>
    <row r="9" spans="1:7" x14ac:dyDescent="0.25">
      <c r="A9" s="38" t="s">
        <v>101</v>
      </c>
      <c r="B9" s="39" t="s">
        <v>102</v>
      </c>
      <c r="C9" s="39">
        <v>2003</v>
      </c>
      <c r="D9" s="39" t="s">
        <v>103</v>
      </c>
      <c r="E9" s="40" t="s">
        <v>104</v>
      </c>
      <c r="F9" s="42" t="s">
        <v>105</v>
      </c>
      <c r="G9" s="39" t="s">
        <v>100</v>
      </c>
    </row>
    <row r="10" spans="1:7" x14ac:dyDescent="0.25">
      <c r="A10" s="38" t="s">
        <v>106</v>
      </c>
      <c r="B10" s="39" t="s">
        <v>107</v>
      </c>
      <c r="C10" s="39">
        <v>2006</v>
      </c>
      <c r="D10" s="39" t="s">
        <v>103</v>
      </c>
      <c r="E10" s="42" t="s">
        <v>98</v>
      </c>
      <c r="F10" s="40" t="s">
        <v>99</v>
      </c>
      <c r="G10" s="39" t="s">
        <v>100</v>
      </c>
    </row>
    <row r="11" spans="1:7" x14ac:dyDescent="0.25">
      <c r="A11" s="38" t="s">
        <v>108</v>
      </c>
      <c r="B11" s="39" t="s">
        <v>96</v>
      </c>
      <c r="C11" s="39">
        <v>2015</v>
      </c>
      <c r="D11" s="39" t="s">
        <v>109</v>
      </c>
      <c r="E11" s="39" t="s">
        <v>110</v>
      </c>
      <c r="F11" s="40" t="s">
        <v>99</v>
      </c>
      <c r="G11" s="39" t="s">
        <v>111</v>
      </c>
    </row>
    <row r="12" spans="1:7" x14ac:dyDescent="0.25">
      <c r="A12" s="38" t="s">
        <v>112</v>
      </c>
      <c r="B12" s="39" t="s">
        <v>113</v>
      </c>
      <c r="C12" s="39">
        <v>2015</v>
      </c>
      <c r="D12" s="40" t="s">
        <v>114</v>
      </c>
      <c r="E12" s="40" t="s">
        <v>115</v>
      </c>
      <c r="F12" s="41" t="s">
        <v>79</v>
      </c>
      <c r="G12" s="39" t="s">
        <v>116</v>
      </c>
    </row>
    <row r="13" spans="1:7" x14ac:dyDescent="0.25">
      <c r="A13" s="38" t="s">
        <v>117</v>
      </c>
      <c r="B13" s="39" t="s">
        <v>118</v>
      </c>
      <c r="C13" s="39">
        <v>2011</v>
      </c>
      <c r="D13" s="39" t="s">
        <v>119</v>
      </c>
      <c r="E13" s="40" t="s">
        <v>120</v>
      </c>
      <c r="F13" s="41" t="s">
        <v>79</v>
      </c>
      <c r="G13" s="39" t="s">
        <v>121</v>
      </c>
    </row>
    <row r="14" spans="1:7" x14ac:dyDescent="0.25">
      <c r="A14" s="38" t="s">
        <v>122</v>
      </c>
      <c r="B14" s="39" t="s">
        <v>86</v>
      </c>
      <c r="C14" s="39">
        <v>2018</v>
      </c>
      <c r="D14" s="39" t="s">
        <v>123</v>
      </c>
      <c r="E14" s="40" t="s">
        <v>124</v>
      </c>
      <c r="F14" s="41" t="s">
        <v>79</v>
      </c>
      <c r="G14" s="39" t="s">
        <v>121</v>
      </c>
    </row>
    <row r="15" spans="1:7" x14ac:dyDescent="0.25">
      <c r="A15" s="38" t="s">
        <v>125</v>
      </c>
      <c r="B15" s="39" t="s">
        <v>126</v>
      </c>
      <c r="C15" s="39">
        <v>2010</v>
      </c>
      <c r="D15" s="39" t="s">
        <v>127</v>
      </c>
      <c r="E15" s="40" t="s">
        <v>128</v>
      </c>
      <c r="F15" s="42" t="s">
        <v>105</v>
      </c>
      <c r="G15" s="39" t="s">
        <v>129</v>
      </c>
    </row>
    <row r="16" spans="1:7" x14ac:dyDescent="0.25">
      <c r="A16" s="38" t="s">
        <v>130</v>
      </c>
      <c r="B16" s="39" t="s">
        <v>96</v>
      </c>
      <c r="C16" s="39">
        <v>2015</v>
      </c>
      <c r="D16" s="39" t="s">
        <v>131</v>
      </c>
      <c r="E16" s="40" t="s">
        <v>132</v>
      </c>
      <c r="F16" s="42" t="s">
        <v>105</v>
      </c>
      <c r="G16" s="39" t="s">
        <v>133</v>
      </c>
    </row>
    <row r="17" spans="1:7" x14ac:dyDescent="0.25">
      <c r="A17" s="38" t="s">
        <v>134</v>
      </c>
      <c r="B17" s="39" t="s">
        <v>113</v>
      </c>
      <c r="C17" s="39">
        <v>2000</v>
      </c>
      <c r="D17" s="39" t="s">
        <v>127</v>
      </c>
      <c r="E17" s="40" t="s">
        <v>135</v>
      </c>
      <c r="F17" s="42" t="s">
        <v>105</v>
      </c>
      <c r="G17" s="39" t="s">
        <v>136</v>
      </c>
    </row>
    <row r="18" spans="1:7" x14ac:dyDescent="0.25">
      <c r="A18" s="38" t="s">
        <v>137</v>
      </c>
      <c r="B18" s="39" t="s">
        <v>138</v>
      </c>
      <c r="C18" s="39">
        <v>2015</v>
      </c>
      <c r="D18" s="39" t="s">
        <v>139</v>
      </c>
      <c r="E18" s="39" t="s">
        <v>140</v>
      </c>
      <c r="F18" s="41" t="s">
        <v>79</v>
      </c>
      <c r="G18" s="39" t="s">
        <v>121</v>
      </c>
    </row>
    <row r="19" spans="1:7" x14ac:dyDescent="0.25">
      <c r="A19" s="38" t="s">
        <v>141</v>
      </c>
      <c r="B19" s="39" t="s">
        <v>96</v>
      </c>
      <c r="C19" s="39" t="s">
        <v>142</v>
      </c>
      <c r="D19" s="39" t="s">
        <v>83</v>
      </c>
      <c r="E19" s="42" t="s">
        <v>105</v>
      </c>
      <c r="F19" s="42" t="s">
        <v>105</v>
      </c>
      <c r="G19" s="42" t="s">
        <v>105</v>
      </c>
    </row>
    <row r="20" spans="1:7" x14ac:dyDescent="0.25">
      <c r="A20" s="38" t="s">
        <v>143</v>
      </c>
      <c r="B20" s="39" t="s">
        <v>96</v>
      </c>
      <c r="C20" s="39">
        <v>2006</v>
      </c>
      <c r="D20" s="39" t="s">
        <v>144</v>
      </c>
      <c r="E20" s="42" t="s">
        <v>98</v>
      </c>
      <c r="F20" s="42" t="s">
        <v>105</v>
      </c>
      <c r="G20" s="39" t="s">
        <v>129</v>
      </c>
    </row>
    <row r="21" spans="1:7" x14ac:dyDescent="0.25">
      <c r="A21" s="38" t="s">
        <v>145</v>
      </c>
      <c r="B21" s="39" t="s">
        <v>146</v>
      </c>
      <c r="C21" s="39">
        <v>2006</v>
      </c>
      <c r="D21" s="39" t="s">
        <v>147</v>
      </c>
      <c r="E21" s="40" t="s">
        <v>148</v>
      </c>
      <c r="F21" s="41" t="s">
        <v>79</v>
      </c>
      <c r="G21" s="39" t="s">
        <v>121</v>
      </c>
    </row>
    <row r="22" spans="1:7" x14ac:dyDescent="0.25">
      <c r="A22" s="38" t="s">
        <v>149</v>
      </c>
      <c r="B22" s="39" t="s">
        <v>146</v>
      </c>
      <c r="C22" s="39">
        <v>2017</v>
      </c>
      <c r="D22" s="39" t="s">
        <v>150</v>
      </c>
      <c r="E22" s="40" t="s">
        <v>151</v>
      </c>
      <c r="F22" s="41" t="s">
        <v>79</v>
      </c>
      <c r="G22" s="39" t="s">
        <v>121</v>
      </c>
    </row>
    <row r="23" spans="1:7" x14ac:dyDescent="0.25">
      <c r="A23" s="38" t="s">
        <v>152</v>
      </c>
      <c r="B23" s="39" t="s">
        <v>126</v>
      </c>
      <c r="C23" s="39">
        <v>2018</v>
      </c>
      <c r="D23" s="39" t="s">
        <v>153</v>
      </c>
      <c r="E23" s="39" t="s">
        <v>110</v>
      </c>
      <c r="F23" s="42" t="s">
        <v>105</v>
      </c>
      <c r="G23" s="39" t="s">
        <v>110</v>
      </c>
    </row>
    <row r="24" spans="1:7" x14ac:dyDescent="0.25">
      <c r="A24" s="38" t="s">
        <v>154</v>
      </c>
      <c r="B24" s="39" t="s">
        <v>86</v>
      </c>
      <c r="C24" s="39">
        <v>2013</v>
      </c>
      <c r="D24" s="39" t="s">
        <v>155</v>
      </c>
      <c r="E24" s="39" t="s">
        <v>156</v>
      </c>
      <c r="F24" s="41" t="s">
        <v>79</v>
      </c>
      <c r="G24" s="39" t="s">
        <v>121</v>
      </c>
    </row>
    <row r="25" spans="1:7" x14ac:dyDescent="0.25">
      <c r="A25" s="38" t="s">
        <v>157</v>
      </c>
      <c r="B25" s="39" t="s">
        <v>102</v>
      </c>
      <c r="C25" s="39">
        <v>2016</v>
      </c>
      <c r="D25" s="39" t="s">
        <v>158</v>
      </c>
      <c r="E25" s="40" t="s">
        <v>159</v>
      </c>
      <c r="F25" s="41" t="s">
        <v>79</v>
      </c>
      <c r="G25" s="39" t="s">
        <v>121</v>
      </c>
    </row>
    <row r="26" spans="1:7" x14ac:dyDescent="0.25">
      <c r="A26" s="38" t="s">
        <v>160</v>
      </c>
      <c r="B26" s="39" t="s">
        <v>161</v>
      </c>
      <c r="C26" s="39">
        <v>2010</v>
      </c>
      <c r="D26" s="39" t="s">
        <v>155</v>
      </c>
      <c r="E26" s="40" t="s">
        <v>162</v>
      </c>
      <c r="F26" s="41" t="s">
        <v>79</v>
      </c>
      <c r="G26" s="39" t="s">
        <v>121</v>
      </c>
    </row>
    <row r="27" spans="1:7" x14ac:dyDescent="0.25">
      <c r="A27" s="38" t="s">
        <v>163</v>
      </c>
      <c r="B27" s="39" t="s">
        <v>118</v>
      </c>
      <c r="C27" s="39">
        <v>2012</v>
      </c>
      <c r="D27" s="39" t="s">
        <v>164</v>
      </c>
      <c r="E27" s="39" t="s">
        <v>165</v>
      </c>
      <c r="F27" s="41" t="s">
        <v>79</v>
      </c>
      <c r="G27" s="39" t="s">
        <v>121</v>
      </c>
    </row>
    <row r="28" spans="1:7" x14ac:dyDescent="0.25">
      <c r="A28" s="38" t="s">
        <v>166</v>
      </c>
      <c r="B28" s="39" t="s">
        <v>167</v>
      </c>
      <c r="C28" s="39">
        <v>1998</v>
      </c>
      <c r="D28" s="39" t="s">
        <v>168</v>
      </c>
      <c r="E28" s="39" t="s">
        <v>110</v>
      </c>
      <c r="F28" s="40" t="s">
        <v>99</v>
      </c>
      <c r="G28" s="39" t="s">
        <v>129</v>
      </c>
    </row>
    <row r="29" spans="1:7" x14ac:dyDescent="0.25">
      <c r="A29" s="38" t="s">
        <v>169</v>
      </c>
      <c r="B29" s="39" t="s">
        <v>91</v>
      </c>
      <c r="C29" s="39">
        <v>2022</v>
      </c>
      <c r="D29" s="39" t="s">
        <v>170</v>
      </c>
      <c r="E29" s="39" t="s">
        <v>110</v>
      </c>
      <c r="F29" s="40" t="s">
        <v>99</v>
      </c>
      <c r="G29" s="39" t="s">
        <v>129</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C92A-65B7-4A86-B3DE-6B5DBDAEA0D8}">
  <dimension ref="A1:I14"/>
  <sheetViews>
    <sheetView workbookViewId="0">
      <selection activeCell="F20" sqref="F20"/>
    </sheetView>
  </sheetViews>
  <sheetFormatPr baseColWidth="10" defaultRowHeight="15" x14ac:dyDescent="0.25"/>
  <cols>
    <col min="1" max="1" width="20.5703125" customWidth="1"/>
    <col min="2" max="2" width="16.140625" customWidth="1"/>
    <col min="3" max="3" width="21.28515625" customWidth="1"/>
    <col min="4" max="4" width="18.5703125" customWidth="1"/>
    <col min="5" max="6" width="19.140625" customWidth="1"/>
    <col min="7" max="7" width="23.42578125" customWidth="1"/>
  </cols>
  <sheetData>
    <row r="1" spans="1:9" x14ac:dyDescent="0.25">
      <c r="A1" s="37" t="s">
        <v>68</v>
      </c>
      <c r="B1" s="37" t="s">
        <v>171</v>
      </c>
      <c r="C1" s="37" t="s">
        <v>172</v>
      </c>
      <c r="D1" s="37" t="s">
        <v>173</v>
      </c>
      <c r="E1" s="37" t="s">
        <v>174</v>
      </c>
      <c r="F1" s="37" t="s">
        <v>175</v>
      </c>
      <c r="G1" s="37" t="s">
        <v>176</v>
      </c>
      <c r="H1" s="37" t="s">
        <v>177</v>
      </c>
      <c r="I1" s="37" t="s">
        <v>178</v>
      </c>
    </row>
    <row r="2" spans="1:9" x14ac:dyDescent="0.25">
      <c r="A2" s="38" t="s">
        <v>75</v>
      </c>
      <c r="B2" s="41" t="s">
        <v>79</v>
      </c>
      <c r="C2" s="41" t="s">
        <v>79</v>
      </c>
      <c r="D2" s="41" t="s">
        <v>79</v>
      </c>
      <c r="E2" s="41" t="s">
        <v>79</v>
      </c>
      <c r="F2" s="41" t="s">
        <v>79</v>
      </c>
      <c r="G2" s="41" t="s">
        <v>79</v>
      </c>
      <c r="H2" s="41" t="s">
        <v>79</v>
      </c>
      <c r="I2" s="42" t="s">
        <v>179</v>
      </c>
    </row>
    <row r="3" spans="1:9" x14ac:dyDescent="0.25">
      <c r="A3" s="38" t="s">
        <v>81</v>
      </c>
      <c r="B3" s="41" t="s">
        <v>79</v>
      </c>
      <c r="C3" s="41" t="s">
        <v>79</v>
      </c>
      <c r="D3" s="41" t="s">
        <v>79</v>
      </c>
      <c r="E3" s="41" t="s">
        <v>79</v>
      </c>
      <c r="F3" s="41" t="s">
        <v>79</v>
      </c>
      <c r="G3" s="41" t="s">
        <v>79</v>
      </c>
      <c r="H3" s="41" t="s">
        <v>79</v>
      </c>
      <c r="I3" s="40" t="s">
        <v>99</v>
      </c>
    </row>
    <row r="4" spans="1:9" x14ac:dyDescent="0.25">
      <c r="A4" s="38" t="s">
        <v>85</v>
      </c>
      <c r="B4" s="41" t="s">
        <v>79</v>
      </c>
      <c r="C4" s="41" t="s">
        <v>79</v>
      </c>
      <c r="D4" s="41" t="s">
        <v>79</v>
      </c>
      <c r="E4" s="41" t="s">
        <v>79</v>
      </c>
      <c r="F4" s="42" t="s">
        <v>179</v>
      </c>
      <c r="G4" s="41" t="s">
        <v>79</v>
      </c>
      <c r="H4" s="40" t="s">
        <v>99</v>
      </c>
      <c r="I4" s="40" t="s">
        <v>99</v>
      </c>
    </row>
    <row r="5" spans="1:9" x14ac:dyDescent="0.25">
      <c r="A5" s="38" t="s">
        <v>180</v>
      </c>
      <c r="B5" s="41" t="s">
        <v>79</v>
      </c>
      <c r="C5" s="41" t="s">
        <v>79</v>
      </c>
      <c r="D5" s="41" t="s">
        <v>79</v>
      </c>
      <c r="E5" s="40" t="s">
        <v>99</v>
      </c>
      <c r="F5" s="40" t="s">
        <v>99</v>
      </c>
      <c r="G5" s="40" t="s">
        <v>99</v>
      </c>
      <c r="H5" s="40" t="s">
        <v>99</v>
      </c>
      <c r="I5" s="40" t="s">
        <v>99</v>
      </c>
    </row>
    <row r="6" spans="1:9" x14ac:dyDescent="0.25">
      <c r="A6" s="38" t="s">
        <v>95</v>
      </c>
      <c r="B6" s="41" t="s">
        <v>79</v>
      </c>
      <c r="C6" s="41" t="s">
        <v>79</v>
      </c>
      <c r="D6" s="41" t="s">
        <v>79</v>
      </c>
      <c r="E6" s="41" t="s">
        <v>79</v>
      </c>
      <c r="F6" s="41" t="s">
        <v>79</v>
      </c>
      <c r="G6" s="42" t="s">
        <v>105</v>
      </c>
      <c r="H6" s="40" t="s">
        <v>99</v>
      </c>
      <c r="I6" s="40" t="s">
        <v>99</v>
      </c>
    </row>
    <row r="7" spans="1:9" x14ac:dyDescent="0.25">
      <c r="A7" s="38" t="s">
        <v>101</v>
      </c>
      <c r="B7" s="41" t="s">
        <v>79</v>
      </c>
      <c r="C7" s="41" t="s">
        <v>79</v>
      </c>
      <c r="D7" s="41" t="s">
        <v>79</v>
      </c>
      <c r="E7" s="42" t="s">
        <v>105</v>
      </c>
      <c r="F7" s="42" t="s">
        <v>105</v>
      </c>
      <c r="G7" s="42" t="s">
        <v>105</v>
      </c>
      <c r="H7" s="40" t="s">
        <v>99</v>
      </c>
      <c r="I7" s="41" t="s">
        <v>79</v>
      </c>
    </row>
    <row r="8" spans="1:9" x14ac:dyDescent="0.25">
      <c r="A8" s="38" t="s">
        <v>106</v>
      </c>
      <c r="B8" s="41" t="s">
        <v>79</v>
      </c>
      <c r="C8" s="41" t="s">
        <v>79</v>
      </c>
      <c r="D8" s="41" t="s">
        <v>79</v>
      </c>
      <c r="E8" s="42" t="s">
        <v>105</v>
      </c>
      <c r="F8" s="42" t="s">
        <v>105</v>
      </c>
      <c r="G8" s="42" t="s">
        <v>105</v>
      </c>
      <c r="H8" s="41" t="s">
        <v>79</v>
      </c>
      <c r="I8" s="42" t="s">
        <v>105</v>
      </c>
    </row>
    <row r="9" spans="1:9" x14ac:dyDescent="0.25">
      <c r="A9" s="38" t="s">
        <v>112</v>
      </c>
      <c r="B9" s="41" t="s">
        <v>79</v>
      </c>
      <c r="C9" s="41" t="s">
        <v>79</v>
      </c>
      <c r="D9" s="41" t="s">
        <v>79</v>
      </c>
      <c r="E9" s="41" t="s">
        <v>79</v>
      </c>
      <c r="F9" s="41" t="s">
        <v>79</v>
      </c>
      <c r="G9" s="41" t="s">
        <v>79</v>
      </c>
      <c r="H9" s="41" t="s">
        <v>79</v>
      </c>
      <c r="I9" s="40" t="s">
        <v>99</v>
      </c>
    </row>
    <row r="10" spans="1:9" x14ac:dyDescent="0.25">
      <c r="A10" s="38" t="s">
        <v>108</v>
      </c>
      <c r="B10" s="41" t="s">
        <v>79</v>
      </c>
      <c r="C10" s="42" t="s">
        <v>105</v>
      </c>
      <c r="D10" s="40" t="s">
        <v>99</v>
      </c>
      <c r="E10" s="41" t="s">
        <v>79</v>
      </c>
      <c r="F10" s="41" t="s">
        <v>79</v>
      </c>
      <c r="G10" s="41" t="s">
        <v>79</v>
      </c>
      <c r="H10" s="40" t="s">
        <v>99</v>
      </c>
      <c r="I10" s="40" t="s">
        <v>99</v>
      </c>
    </row>
    <row r="11" spans="1:9" x14ac:dyDescent="0.25">
      <c r="A11" s="38" t="s">
        <v>137</v>
      </c>
      <c r="B11" s="40" t="s">
        <v>99</v>
      </c>
      <c r="C11" s="40" t="s">
        <v>99</v>
      </c>
      <c r="D11" s="40" t="s">
        <v>99</v>
      </c>
      <c r="E11" s="41" t="s">
        <v>79</v>
      </c>
      <c r="F11" s="40" t="s">
        <v>99</v>
      </c>
      <c r="G11" s="41" t="s">
        <v>79</v>
      </c>
      <c r="H11" s="40" t="s">
        <v>99</v>
      </c>
      <c r="I11" s="40" t="s">
        <v>99</v>
      </c>
    </row>
    <row r="12" spans="1:9" x14ac:dyDescent="0.25">
      <c r="A12" s="38" t="s">
        <v>181</v>
      </c>
      <c r="B12" s="41" t="s">
        <v>79</v>
      </c>
      <c r="C12" s="41" t="s">
        <v>79</v>
      </c>
      <c r="D12" s="41" t="s">
        <v>79</v>
      </c>
      <c r="E12" s="41" t="s">
        <v>79</v>
      </c>
      <c r="F12" s="41" t="s">
        <v>79</v>
      </c>
      <c r="G12" s="42" t="s">
        <v>105</v>
      </c>
      <c r="H12" s="40" t="s">
        <v>99</v>
      </c>
      <c r="I12" s="40" t="s">
        <v>99</v>
      </c>
    </row>
    <row r="13" spans="1:9" x14ac:dyDescent="0.25">
      <c r="A13" s="38" t="s">
        <v>182</v>
      </c>
      <c r="B13" s="41" t="s">
        <v>79</v>
      </c>
      <c r="C13" s="41" t="s">
        <v>79</v>
      </c>
      <c r="D13" s="41" t="s">
        <v>79</v>
      </c>
      <c r="E13" s="42" t="s">
        <v>105</v>
      </c>
      <c r="F13" s="40" t="s">
        <v>99</v>
      </c>
      <c r="G13" s="40" t="s">
        <v>99</v>
      </c>
      <c r="H13" s="40" t="s">
        <v>99</v>
      </c>
      <c r="I13" s="40" t="s">
        <v>99</v>
      </c>
    </row>
    <row r="14" spans="1:9" x14ac:dyDescent="0.25">
      <c r="A14" s="38" t="s">
        <v>183</v>
      </c>
      <c r="B14" s="41" t="s">
        <v>79</v>
      </c>
      <c r="C14" s="41" t="s">
        <v>79</v>
      </c>
      <c r="D14" s="41" t="s">
        <v>79</v>
      </c>
      <c r="E14" s="40" t="s">
        <v>99</v>
      </c>
      <c r="F14" s="40" t="s">
        <v>99</v>
      </c>
      <c r="G14" s="40" t="s">
        <v>99</v>
      </c>
      <c r="H14" s="40" t="s">
        <v>99</v>
      </c>
      <c r="I14" s="40" t="s">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501E-BF3D-4554-97B3-460B40793CDF}">
  <dimension ref="A1:H17"/>
  <sheetViews>
    <sheetView workbookViewId="0">
      <selection activeCell="K6" sqref="K6"/>
    </sheetView>
  </sheetViews>
  <sheetFormatPr baseColWidth="10" defaultRowHeight="15" x14ac:dyDescent="0.25"/>
  <cols>
    <col min="1" max="1" width="15.7109375" bestFit="1" customWidth="1"/>
    <col min="2" max="2" width="23" customWidth="1"/>
    <col min="3" max="3" width="20.42578125" customWidth="1"/>
    <col min="4" max="4" width="14.85546875" bestFit="1" customWidth="1"/>
    <col min="5" max="5" width="15.85546875" bestFit="1" customWidth="1"/>
    <col min="6" max="6" width="20.85546875" customWidth="1"/>
    <col min="7" max="7" width="12.7109375" customWidth="1"/>
    <col min="8" max="8" width="13.7109375" bestFit="1" customWidth="1"/>
  </cols>
  <sheetData>
    <row r="1" spans="1:8" ht="20.25" x14ac:dyDescent="0.25">
      <c r="A1" s="75" t="s">
        <v>184</v>
      </c>
      <c r="B1" s="75"/>
      <c r="C1" s="75"/>
      <c r="D1" s="75"/>
      <c r="E1" s="75"/>
      <c r="F1" s="75"/>
      <c r="G1" s="75"/>
      <c r="H1" s="75"/>
    </row>
    <row r="3" spans="1:8" x14ac:dyDescent="0.25">
      <c r="A3" s="37" t="s">
        <v>68</v>
      </c>
      <c r="B3" s="37" t="s">
        <v>185</v>
      </c>
      <c r="C3" s="37" t="s">
        <v>186</v>
      </c>
      <c r="D3" s="37" t="s">
        <v>187</v>
      </c>
      <c r="E3" s="37" t="s">
        <v>188</v>
      </c>
      <c r="F3" s="37" t="s">
        <v>189</v>
      </c>
      <c r="G3" s="37" t="s">
        <v>190</v>
      </c>
      <c r="H3" s="37" t="s">
        <v>191</v>
      </c>
    </row>
    <row r="4" spans="1:8" x14ac:dyDescent="0.25">
      <c r="A4" s="38" t="s">
        <v>108</v>
      </c>
      <c r="B4" s="41" t="s">
        <v>79</v>
      </c>
      <c r="C4" s="41" t="s">
        <v>79</v>
      </c>
      <c r="D4" s="41" t="s">
        <v>79</v>
      </c>
      <c r="E4" s="41" t="s">
        <v>79</v>
      </c>
      <c r="F4" s="41" t="s">
        <v>79</v>
      </c>
      <c r="G4" s="41" t="s">
        <v>79</v>
      </c>
      <c r="H4" s="40" t="s">
        <v>99</v>
      </c>
    </row>
    <row r="5" spans="1:8" x14ac:dyDescent="0.25">
      <c r="A5" s="38" t="s">
        <v>112</v>
      </c>
      <c r="B5" s="41" t="s">
        <v>79</v>
      </c>
      <c r="C5" s="41" t="s">
        <v>79</v>
      </c>
      <c r="D5" s="41" t="s">
        <v>79</v>
      </c>
      <c r="E5" s="40" t="s">
        <v>99</v>
      </c>
      <c r="F5" s="41" t="s">
        <v>79</v>
      </c>
      <c r="G5" s="41" t="s">
        <v>79</v>
      </c>
      <c r="H5" s="40" t="s">
        <v>99</v>
      </c>
    </row>
    <row r="6" spans="1:8" x14ac:dyDescent="0.25">
      <c r="A6" s="38" t="s">
        <v>117</v>
      </c>
      <c r="B6" s="41" t="s">
        <v>79</v>
      </c>
      <c r="C6" s="40" t="s">
        <v>99</v>
      </c>
      <c r="D6" s="40" t="s">
        <v>99</v>
      </c>
      <c r="E6" s="40" t="s">
        <v>99</v>
      </c>
      <c r="F6" s="39" t="s">
        <v>192</v>
      </c>
      <c r="G6" s="41" t="s">
        <v>79</v>
      </c>
      <c r="H6" s="41" t="s">
        <v>79</v>
      </c>
    </row>
    <row r="7" spans="1:8" x14ac:dyDescent="0.25">
      <c r="A7" s="38" t="s">
        <v>122</v>
      </c>
      <c r="B7" s="41" t="s">
        <v>79</v>
      </c>
      <c r="C7" s="40" t="s">
        <v>99</v>
      </c>
      <c r="D7" s="40" t="s">
        <v>99</v>
      </c>
      <c r="E7" s="40" t="s">
        <v>99</v>
      </c>
      <c r="F7" s="39" t="s">
        <v>193</v>
      </c>
      <c r="G7" s="41" t="s">
        <v>79</v>
      </c>
      <c r="H7" s="40" t="s">
        <v>99</v>
      </c>
    </row>
    <row r="8" spans="1:8" x14ac:dyDescent="0.25">
      <c r="A8" s="38" t="s">
        <v>125</v>
      </c>
      <c r="B8" s="41" t="s">
        <v>79</v>
      </c>
      <c r="C8" s="39" t="s">
        <v>194</v>
      </c>
      <c r="D8" s="40" t="s">
        <v>99</v>
      </c>
      <c r="E8" s="41" t="s">
        <v>79</v>
      </c>
      <c r="F8" s="39" t="s">
        <v>195</v>
      </c>
      <c r="G8" s="41" t="s">
        <v>79</v>
      </c>
      <c r="H8" s="41" t="s">
        <v>79</v>
      </c>
    </row>
    <row r="9" spans="1:8" x14ac:dyDescent="0.25">
      <c r="A9" s="38" t="s">
        <v>130</v>
      </c>
      <c r="B9" s="41" t="s">
        <v>79</v>
      </c>
      <c r="C9" s="42" t="s">
        <v>105</v>
      </c>
      <c r="D9" s="40" t="s">
        <v>99</v>
      </c>
      <c r="E9" s="39" t="s">
        <v>196</v>
      </c>
      <c r="F9" s="39" t="s">
        <v>197</v>
      </c>
      <c r="G9" s="41" t="s">
        <v>79</v>
      </c>
      <c r="H9" s="40" t="s">
        <v>99</v>
      </c>
    </row>
    <row r="10" spans="1:8" x14ac:dyDescent="0.25">
      <c r="A10" s="38" t="s">
        <v>134</v>
      </c>
      <c r="B10" s="41" t="s">
        <v>79</v>
      </c>
      <c r="C10" s="39" t="s">
        <v>198</v>
      </c>
      <c r="D10" s="40" t="s">
        <v>99</v>
      </c>
      <c r="E10" s="42" t="s">
        <v>105</v>
      </c>
      <c r="F10" s="41" t="s">
        <v>79</v>
      </c>
      <c r="G10" s="41" t="s">
        <v>79</v>
      </c>
      <c r="H10" s="41" t="s">
        <v>79</v>
      </c>
    </row>
    <row r="11" spans="1:8" x14ac:dyDescent="0.25">
      <c r="A11" s="38" t="s">
        <v>199</v>
      </c>
      <c r="B11" s="39" t="s">
        <v>200</v>
      </c>
      <c r="C11" s="40" t="s">
        <v>99</v>
      </c>
      <c r="D11" s="40" t="s">
        <v>99</v>
      </c>
      <c r="E11" s="40" t="s">
        <v>99</v>
      </c>
      <c r="F11" s="39" t="s">
        <v>201</v>
      </c>
      <c r="G11" s="41" t="s">
        <v>79</v>
      </c>
      <c r="H11" s="41" t="s">
        <v>79</v>
      </c>
    </row>
    <row r="12" spans="1:8" x14ac:dyDescent="0.25">
      <c r="A12" s="38" t="s">
        <v>202</v>
      </c>
      <c r="B12" s="39" t="s">
        <v>203</v>
      </c>
      <c r="C12" s="40" t="s">
        <v>99</v>
      </c>
      <c r="D12" s="40" t="s">
        <v>99</v>
      </c>
      <c r="E12" s="40" t="s">
        <v>99</v>
      </c>
      <c r="F12" s="39" t="s">
        <v>204</v>
      </c>
      <c r="G12" s="41" t="s">
        <v>79</v>
      </c>
      <c r="H12" s="40" t="s">
        <v>99</v>
      </c>
    </row>
    <row r="13" spans="1:8" x14ac:dyDescent="0.25">
      <c r="A13" s="38" t="s">
        <v>205</v>
      </c>
      <c r="B13" s="40" t="s">
        <v>99</v>
      </c>
      <c r="C13" s="40" t="s">
        <v>99</v>
      </c>
      <c r="D13" s="40" t="s">
        <v>99</v>
      </c>
      <c r="E13" s="40" t="s">
        <v>99</v>
      </c>
      <c r="F13" s="39" t="s">
        <v>206</v>
      </c>
      <c r="G13" s="41" t="s">
        <v>79</v>
      </c>
      <c r="H13" s="40" t="s">
        <v>99</v>
      </c>
    </row>
    <row r="14" spans="1:8" x14ac:dyDescent="0.25">
      <c r="A14" s="38" t="s">
        <v>145</v>
      </c>
      <c r="B14" s="40" t="s">
        <v>99</v>
      </c>
      <c r="C14" s="40" t="s">
        <v>99</v>
      </c>
      <c r="D14" s="40" t="s">
        <v>99</v>
      </c>
      <c r="E14" s="41" t="s">
        <v>79</v>
      </c>
      <c r="F14" s="40" t="s">
        <v>99</v>
      </c>
      <c r="G14" s="40" t="s">
        <v>99</v>
      </c>
      <c r="H14" s="40" t="s">
        <v>99</v>
      </c>
    </row>
    <row r="15" spans="1:8" x14ac:dyDescent="0.25">
      <c r="A15" s="38" t="s">
        <v>149</v>
      </c>
      <c r="B15" s="39" t="s">
        <v>194</v>
      </c>
      <c r="C15" s="40" t="s">
        <v>99</v>
      </c>
      <c r="D15" s="40" t="s">
        <v>99</v>
      </c>
      <c r="E15" s="39" t="s">
        <v>196</v>
      </c>
      <c r="F15" s="39" t="s">
        <v>207</v>
      </c>
      <c r="G15" s="41" t="s">
        <v>79</v>
      </c>
      <c r="H15" s="40" t="s">
        <v>99</v>
      </c>
    </row>
    <row r="16" spans="1:8" x14ac:dyDescent="0.25">
      <c r="A16" s="38" t="s">
        <v>137</v>
      </c>
      <c r="B16" s="39" t="s">
        <v>208</v>
      </c>
      <c r="C16" s="40" t="s">
        <v>99</v>
      </c>
      <c r="D16" s="40" t="s">
        <v>99</v>
      </c>
      <c r="E16" s="40" t="s">
        <v>99</v>
      </c>
      <c r="F16" s="40" t="s">
        <v>99</v>
      </c>
      <c r="G16" s="39" t="s">
        <v>208</v>
      </c>
      <c r="H16" s="40" t="s">
        <v>99</v>
      </c>
    </row>
    <row r="17" spans="1:8" x14ac:dyDescent="0.25">
      <c r="A17" s="38" t="s">
        <v>141</v>
      </c>
      <c r="B17" s="42" t="s">
        <v>105</v>
      </c>
      <c r="C17" s="42" t="s">
        <v>105</v>
      </c>
      <c r="D17" s="42" t="s">
        <v>105</v>
      </c>
      <c r="E17" s="40" t="s">
        <v>99</v>
      </c>
      <c r="F17" s="42" t="s">
        <v>105</v>
      </c>
      <c r="G17" s="42" t="s">
        <v>105</v>
      </c>
      <c r="H17" s="40" t="s">
        <v>99</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6ECC-AD7F-489D-A852-85479E15D58C}">
  <dimension ref="A1:H16"/>
  <sheetViews>
    <sheetView workbookViewId="0">
      <selection activeCell="D23" sqref="D23"/>
    </sheetView>
  </sheetViews>
  <sheetFormatPr baseColWidth="10" defaultRowHeight="15" x14ac:dyDescent="0.25"/>
  <cols>
    <col min="1" max="1" width="15.7109375" bestFit="1" customWidth="1"/>
    <col min="2" max="2" width="26.140625" customWidth="1"/>
    <col min="3" max="3" width="22.85546875" customWidth="1"/>
    <col min="4" max="4" width="19" customWidth="1"/>
    <col min="5" max="5" width="28.42578125" customWidth="1"/>
    <col min="6" max="6" width="24.140625" customWidth="1"/>
    <col min="7" max="7" width="20.7109375" customWidth="1"/>
    <col min="8" max="8" width="24.28515625" customWidth="1"/>
  </cols>
  <sheetData>
    <row r="1" spans="1:8" ht="20.25" x14ac:dyDescent="0.25">
      <c r="A1" s="75" t="s">
        <v>209</v>
      </c>
      <c r="B1" s="75"/>
      <c r="C1" s="75"/>
      <c r="D1" s="75"/>
      <c r="E1" s="75"/>
      <c r="F1" s="75"/>
      <c r="G1" s="75"/>
      <c r="H1" s="75"/>
    </row>
    <row r="3" spans="1:8" x14ac:dyDescent="0.25">
      <c r="A3" s="37" t="s">
        <v>68</v>
      </c>
      <c r="B3" s="37" t="s">
        <v>210</v>
      </c>
      <c r="C3" s="37" t="s">
        <v>211</v>
      </c>
      <c r="D3" s="37" t="s">
        <v>212</v>
      </c>
      <c r="E3" s="37" t="s">
        <v>213</v>
      </c>
      <c r="F3" s="37" t="s">
        <v>214</v>
      </c>
      <c r="G3" s="37" t="s">
        <v>215</v>
      </c>
      <c r="H3" s="37" t="s">
        <v>216</v>
      </c>
    </row>
    <row r="4" spans="1:8" x14ac:dyDescent="0.25">
      <c r="A4" s="38" t="s">
        <v>108</v>
      </c>
      <c r="B4" s="39" t="s">
        <v>217</v>
      </c>
      <c r="C4" s="41" t="s">
        <v>79</v>
      </c>
      <c r="D4" s="41" t="s">
        <v>79</v>
      </c>
      <c r="E4" s="41" t="s">
        <v>79</v>
      </c>
      <c r="F4" s="39" t="s">
        <v>218</v>
      </c>
      <c r="G4" s="39" t="s">
        <v>219</v>
      </c>
      <c r="H4" s="39" t="s">
        <v>220</v>
      </c>
    </row>
    <row r="5" spans="1:8" x14ac:dyDescent="0.25">
      <c r="A5" s="38" t="s">
        <v>112</v>
      </c>
      <c r="B5" s="39" t="s">
        <v>221</v>
      </c>
      <c r="C5" s="41" t="s">
        <v>79</v>
      </c>
      <c r="D5" s="40" t="s">
        <v>99</v>
      </c>
      <c r="E5" s="40" t="s">
        <v>99</v>
      </c>
      <c r="F5" s="42" t="s">
        <v>179</v>
      </c>
      <c r="G5" s="39" t="s">
        <v>219</v>
      </c>
      <c r="H5" s="41" t="s">
        <v>79</v>
      </c>
    </row>
    <row r="6" spans="1:8" x14ac:dyDescent="0.25">
      <c r="A6" s="38" t="s">
        <v>145</v>
      </c>
      <c r="B6" s="41" t="s">
        <v>79</v>
      </c>
      <c r="C6" s="41" t="s">
        <v>79</v>
      </c>
      <c r="D6" s="41" t="s">
        <v>79</v>
      </c>
      <c r="E6" s="39" t="s">
        <v>222</v>
      </c>
      <c r="F6" s="39" t="s">
        <v>196</v>
      </c>
      <c r="G6" s="41" t="s">
        <v>79</v>
      </c>
      <c r="H6" s="41" t="s">
        <v>79</v>
      </c>
    </row>
    <row r="7" spans="1:8" x14ac:dyDescent="0.25">
      <c r="A7" s="38" t="s">
        <v>75</v>
      </c>
      <c r="B7" s="40" t="s">
        <v>99</v>
      </c>
      <c r="C7" s="39" t="s">
        <v>223</v>
      </c>
      <c r="D7" s="40" t="s">
        <v>99</v>
      </c>
      <c r="E7" s="40" t="s">
        <v>99</v>
      </c>
      <c r="F7" s="39" t="s">
        <v>224</v>
      </c>
      <c r="G7" s="39" t="s">
        <v>219</v>
      </c>
      <c r="H7" s="41" t="s">
        <v>79</v>
      </c>
    </row>
    <row r="8" spans="1:8" x14ac:dyDescent="0.25">
      <c r="A8" s="38" t="s">
        <v>81</v>
      </c>
      <c r="B8" s="40" t="s">
        <v>99</v>
      </c>
      <c r="C8" s="42" t="s">
        <v>105</v>
      </c>
      <c r="D8" s="40" t="s">
        <v>99</v>
      </c>
      <c r="E8" s="40" t="s">
        <v>99</v>
      </c>
      <c r="F8" s="39" t="s">
        <v>225</v>
      </c>
      <c r="G8" s="41" t="s">
        <v>79</v>
      </c>
      <c r="H8" s="42" t="s">
        <v>179</v>
      </c>
    </row>
    <row r="9" spans="1:8" x14ac:dyDescent="0.25">
      <c r="A9" s="38" t="s">
        <v>125</v>
      </c>
      <c r="B9" s="41" t="s">
        <v>79</v>
      </c>
      <c r="C9" s="41" t="s">
        <v>79</v>
      </c>
      <c r="D9" s="41" t="s">
        <v>79</v>
      </c>
      <c r="E9" s="40" t="s">
        <v>99</v>
      </c>
      <c r="F9" s="41" t="s">
        <v>79</v>
      </c>
      <c r="G9" s="41" t="s">
        <v>79</v>
      </c>
      <c r="H9" s="41" t="s">
        <v>79</v>
      </c>
    </row>
    <row r="10" spans="1:8" x14ac:dyDescent="0.25">
      <c r="A10" s="38" t="s">
        <v>122</v>
      </c>
      <c r="B10" s="41" t="s">
        <v>79</v>
      </c>
      <c r="C10" s="41" t="s">
        <v>79</v>
      </c>
      <c r="D10" s="40" t="s">
        <v>99</v>
      </c>
      <c r="E10" s="40" t="s">
        <v>99</v>
      </c>
      <c r="F10" s="40" t="s">
        <v>99</v>
      </c>
      <c r="G10" s="39" t="s">
        <v>219</v>
      </c>
      <c r="H10" s="41" t="s">
        <v>79</v>
      </c>
    </row>
    <row r="11" spans="1:8" x14ac:dyDescent="0.25">
      <c r="A11" s="38" t="s">
        <v>85</v>
      </c>
      <c r="B11" s="40" t="s">
        <v>99</v>
      </c>
      <c r="C11" s="42" t="s">
        <v>105</v>
      </c>
      <c r="D11" s="40" t="s">
        <v>99</v>
      </c>
      <c r="E11" s="40" t="s">
        <v>99</v>
      </c>
      <c r="F11" s="42" t="s">
        <v>179</v>
      </c>
      <c r="G11" s="41" t="s">
        <v>79</v>
      </c>
      <c r="H11" s="42" t="s">
        <v>179</v>
      </c>
    </row>
    <row r="12" spans="1:8" x14ac:dyDescent="0.25">
      <c r="A12" s="38" t="s">
        <v>180</v>
      </c>
      <c r="B12" s="40" t="s">
        <v>99</v>
      </c>
      <c r="C12" s="42" t="s">
        <v>105</v>
      </c>
      <c r="D12" s="40" t="s">
        <v>99</v>
      </c>
      <c r="E12" s="40" t="s">
        <v>99</v>
      </c>
      <c r="F12" s="42" t="s">
        <v>179</v>
      </c>
      <c r="G12" s="41" t="s">
        <v>79</v>
      </c>
      <c r="H12" s="42" t="s">
        <v>179</v>
      </c>
    </row>
    <row r="13" spans="1:8" x14ac:dyDescent="0.25">
      <c r="A13" s="38" t="s">
        <v>117</v>
      </c>
      <c r="B13" s="39" t="s">
        <v>225</v>
      </c>
      <c r="C13" s="41" t="s">
        <v>79</v>
      </c>
      <c r="D13" s="40" t="s">
        <v>99</v>
      </c>
      <c r="E13" s="40" t="s">
        <v>99</v>
      </c>
      <c r="F13" s="39" t="s">
        <v>225</v>
      </c>
      <c r="G13" s="41" t="s">
        <v>79</v>
      </c>
      <c r="H13" s="41" t="s">
        <v>79</v>
      </c>
    </row>
    <row r="14" spans="1:8" x14ac:dyDescent="0.25">
      <c r="A14" s="38" t="s">
        <v>137</v>
      </c>
      <c r="B14" s="40" t="s">
        <v>99</v>
      </c>
      <c r="C14" s="42" t="s">
        <v>105</v>
      </c>
      <c r="D14" s="40" t="s">
        <v>99</v>
      </c>
      <c r="E14" s="40" t="s">
        <v>99</v>
      </c>
      <c r="F14" s="39" t="s">
        <v>225</v>
      </c>
      <c r="G14" s="41" t="s">
        <v>79</v>
      </c>
      <c r="H14" s="42" t="s">
        <v>179</v>
      </c>
    </row>
    <row r="15" spans="1:8" x14ac:dyDescent="0.25">
      <c r="A15" s="38" t="s">
        <v>143</v>
      </c>
      <c r="B15" s="41" t="s">
        <v>79</v>
      </c>
      <c r="C15" s="41" t="s">
        <v>79</v>
      </c>
      <c r="D15" s="42" t="s">
        <v>105</v>
      </c>
      <c r="E15" s="40" t="s">
        <v>99</v>
      </c>
      <c r="F15" s="41" t="s">
        <v>79</v>
      </c>
      <c r="G15" s="41" t="s">
        <v>79</v>
      </c>
      <c r="H15" s="41" t="s">
        <v>79</v>
      </c>
    </row>
    <row r="16" spans="1:8" x14ac:dyDescent="0.25">
      <c r="A16" s="38" t="s">
        <v>149</v>
      </c>
      <c r="B16" s="41" t="s">
        <v>79</v>
      </c>
      <c r="C16" s="41" t="s">
        <v>79</v>
      </c>
      <c r="D16" s="41" t="s">
        <v>79</v>
      </c>
      <c r="E16" s="40" t="s">
        <v>99</v>
      </c>
      <c r="F16" s="39" t="s">
        <v>196</v>
      </c>
      <c r="G16" s="41" t="s">
        <v>79</v>
      </c>
      <c r="H16" s="41" t="s">
        <v>79</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32C-78B0-48A8-91A9-ECC7348CE8C9}">
  <dimension ref="A1:H18"/>
  <sheetViews>
    <sheetView workbookViewId="0">
      <selection activeCell="E5" sqref="E5"/>
    </sheetView>
  </sheetViews>
  <sheetFormatPr baseColWidth="10" defaultRowHeight="15" x14ac:dyDescent="0.25"/>
  <cols>
    <col min="1" max="1" width="15.7109375" bestFit="1" customWidth="1"/>
    <col min="2" max="2" width="26.5703125" customWidth="1"/>
    <col min="3" max="3" width="20.28515625" customWidth="1"/>
    <col min="4" max="4" width="19.42578125" customWidth="1"/>
    <col min="5" max="5" width="25.140625" customWidth="1"/>
    <col min="6" max="6" width="20.42578125" customWidth="1"/>
    <col min="7" max="7" width="17.85546875" customWidth="1"/>
    <col min="8" max="8" width="23.28515625" customWidth="1"/>
  </cols>
  <sheetData>
    <row r="1" spans="1:8" ht="20.25" x14ac:dyDescent="0.25">
      <c r="A1" s="75" t="s">
        <v>226</v>
      </c>
      <c r="B1" s="75"/>
      <c r="C1" s="75"/>
      <c r="D1" s="75"/>
      <c r="E1" s="75"/>
      <c r="F1" s="75"/>
      <c r="G1" s="75"/>
      <c r="H1" s="75"/>
    </row>
    <row r="3" spans="1:8" x14ac:dyDescent="0.25">
      <c r="A3" s="37" t="s">
        <v>68</v>
      </c>
      <c r="B3" s="37" t="s">
        <v>227</v>
      </c>
      <c r="C3" s="37" t="s">
        <v>228</v>
      </c>
      <c r="D3" s="37" t="s">
        <v>229</v>
      </c>
      <c r="E3" s="37" t="s">
        <v>230</v>
      </c>
      <c r="F3" s="37" t="s">
        <v>231</v>
      </c>
      <c r="G3" s="37" t="s">
        <v>232</v>
      </c>
      <c r="H3" s="37" t="s">
        <v>233</v>
      </c>
    </row>
    <row r="4" spans="1:8" x14ac:dyDescent="0.25">
      <c r="A4" s="38" t="s">
        <v>75</v>
      </c>
      <c r="B4" s="39" t="s">
        <v>234</v>
      </c>
      <c r="C4" s="39" t="s">
        <v>235</v>
      </c>
      <c r="D4" s="39" t="s">
        <v>236</v>
      </c>
      <c r="E4" s="39" t="s">
        <v>237</v>
      </c>
      <c r="F4" s="39" t="s">
        <v>236</v>
      </c>
      <c r="G4" s="39" t="s">
        <v>236</v>
      </c>
      <c r="H4" s="39" t="s">
        <v>234</v>
      </c>
    </row>
    <row r="5" spans="1:8" x14ac:dyDescent="0.25">
      <c r="A5" s="38" t="s">
        <v>81</v>
      </c>
      <c r="B5" s="39" t="s">
        <v>234</v>
      </c>
      <c r="C5" s="39" t="s">
        <v>238</v>
      </c>
      <c r="D5" s="39" t="s">
        <v>236</v>
      </c>
      <c r="E5" s="39" t="s">
        <v>239</v>
      </c>
      <c r="F5" s="39" t="s">
        <v>236</v>
      </c>
      <c r="G5" s="39" t="s">
        <v>236</v>
      </c>
      <c r="H5" s="39" t="s">
        <v>234</v>
      </c>
    </row>
    <row r="6" spans="1:8" x14ac:dyDescent="0.25">
      <c r="A6" s="38" t="s">
        <v>85</v>
      </c>
      <c r="B6" s="39" t="s">
        <v>234</v>
      </c>
      <c r="C6" s="39" t="s">
        <v>240</v>
      </c>
      <c r="D6" s="39" t="s">
        <v>236</v>
      </c>
      <c r="E6" s="39" t="s">
        <v>236</v>
      </c>
      <c r="F6" s="39" t="s">
        <v>236</v>
      </c>
      <c r="G6" s="39" t="s">
        <v>236</v>
      </c>
      <c r="H6" s="39" t="s">
        <v>234</v>
      </c>
    </row>
    <row r="7" spans="1:8" x14ac:dyDescent="0.25">
      <c r="A7" s="38" t="s">
        <v>180</v>
      </c>
      <c r="B7" s="39" t="s">
        <v>234</v>
      </c>
      <c r="C7" s="39" t="s">
        <v>235</v>
      </c>
      <c r="D7" s="39" t="s">
        <v>236</v>
      </c>
      <c r="E7" s="39" t="s">
        <v>236</v>
      </c>
      <c r="F7" s="39" t="s">
        <v>241</v>
      </c>
      <c r="G7" s="39" t="s">
        <v>236</v>
      </c>
      <c r="H7" s="39" t="s">
        <v>234</v>
      </c>
    </row>
    <row r="8" spans="1:8" x14ac:dyDescent="0.25">
      <c r="A8" s="38" t="s">
        <v>95</v>
      </c>
      <c r="B8" s="39" t="s">
        <v>242</v>
      </c>
      <c r="C8" s="42" t="s">
        <v>243</v>
      </c>
      <c r="D8" s="39" t="s">
        <v>236</v>
      </c>
      <c r="E8" s="39" t="s">
        <v>236</v>
      </c>
      <c r="F8" s="39" t="s">
        <v>236</v>
      </c>
      <c r="G8" s="39" t="s">
        <v>236</v>
      </c>
      <c r="H8" s="42" t="s">
        <v>244</v>
      </c>
    </row>
    <row r="9" spans="1:8" x14ac:dyDescent="0.25">
      <c r="A9" s="38" t="s">
        <v>108</v>
      </c>
      <c r="B9" s="39" t="s">
        <v>245</v>
      </c>
      <c r="C9" s="39" t="s">
        <v>246</v>
      </c>
      <c r="D9" s="39" t="s">
        <v>239</v>
      </c>
      <c r="E9" s="39" t="s">
        <v>247</v>
      </c>
      <c r="F9" s="39" t="s">
        <v>248</v>
      </c>
      <c r="G9" s="39" t="s">
        <v>249</v>
      </c>
      <c r="H9" s="39" t="s">
        <v>234</v>
      </c>
    </row>
    <row r="10" spans="1:8" x14ac:dyDescent="0.25">
      <c r="A10" s="38" t="s">
        <v>112</v>
      </c>
      <c r="B10" s="39" t="s">
        <v>250</v>
      </c>
      <c r="C10" s="39" t="s">
        <v>236</v>
      </c>
      <c r="D10" s="39" t="s">
        <v>251</v>
      </c>
      <c r="E10" s="39" t="s">
        <v>252</v>
      </c>
      <c r="F10" s="42" t="s">
        <v>244</v>
      </c>
      <c r="G10" s="39" t="s">
        <v>236</v>
      </c>
      <c r="H10" s="39" t="s">
        <v>234</v>
      </c>
    </row>
    <row r="11" spans="1:8" x14ac:dyDescent="0.25">
      <c r="A11" s="38" t="s">
        <v>117</v>
      </c>
      <c r="B11" s="39" t="s">
        <v>234</v>
      </c>
      <c r="C11" s="39" t="s">
        <v>236</v>
      </c>
      <c r="D11" s="39" t="s">
        <v>236</v>
      </c>
      <c r="E11" s="39" t="s">
        <v>253</v>
      </c>
      <c r="F11" s="39" t="s">
        <v>254</v>
      </c>
      <c r="G11" s="39" t="s">
        <v>236</v>
      </c>
      <c r="H11" s="39" t="s">
        <v>255</v>
      </c>
    </row>
    <row r="12" spans="1:8" x14ac:dyDescent="0.25">
      <c r="A12" s="38" t="s">
        <v>122</v>
      </c>
      <c r="B12" s="42" t="s">
        <v>256</v>
      </c>
      <c r="C12" s="39" t="s">
        <v>236</v>
      </c>
      <c r="D12" s="39" t="s">
        <v>236</v>
      </c>
      <c r="E12" s="42" t="s">
        <v>256</v>
      </c>
      <c r="F12" s="39" t="s">
        <v>236</v>
      </c>
      <c r="G12" s="39" t="s">
        <v>236</v>
      </c>
      <c r="H12" s="39" t="s">
        <v>257</v>
      </c>
    </row>
    <row r="13" spans="1:8" x14ac:dyDescent="0.25">
      <c r="A13" s="38" t="s">
        <v>125</v>
      </c>
      <c r="B13" s="39" t="s">
        <v>258</v>
      </c>
      <c r="C13" s="39" t="s">
        <v>236</v>
      </c>
      <c r="D13" s="39" t="s">
        <v>236</v>
      </c>
      <c r="E13" s="39" t="s">
        <v>259</v>
      </c>
      <c r="F13" s="39" t="s">
        <v>260</v>
      </c>
      <c r="G13" s="39" t="s">
        <v>261</v>
      </c>
      <c r="H13" s="42" t="s">
        <v>244</v>
      </c>
    </row>
    <row r="14" spans="1:8" x14ac:dyDescent="0.25">
      <c r="A14" s="38" t="s">
        <v>130</v>
      </c>
      <c r="B14" s="39" t="s">
        <v>262</v>
      </c>
      <c r="C14" s="39" t="s">
        <v>236</v>
      </c>
      <c r="D14" s="39" t="s">
        <v>236</v>
      </c>
      <c r="E14" s="39" t="s">
        <v>252</v>
      </c>
      <c r="F14" s="39" t="s">
        <v>236</v>
      </c>
      <c r="G14" s="39" t="s">
        <v>236</v>
      </c>
      <c r="H14" s="39" t="s">
        <v>234</v>
      </c>
    </row>
    <row r="15" spans="1:8" x14ac:dyDescent="0.25">
      <c r="A15" s="38" t="s">
        <v>134</v>
      </c>
      <c r="B15" s="42" t="s">
        <v>256</v>
      </c>
      <c r="C15" s="39" t="s">
        <v>236</v>
      </c>
      <c r="D15" s="39" t="s">
        <v>236</v>
      </c>
      <c r="E15" s="39" t="s">
        <v>236</v>
      </c>
      <c r="F15" s="39" t="s">
        <v>236</v>
      </c>
      <c r="G15" s="39" t="s">
        <v>236</v>
      </c>
      <c r="H15" s="39" t="s">
        <v>136</v>
      </c>
    </row>
    <row r="16" spans="1:8" x14ac:dyDescent="0.25">
      <c r="A16" s="38" t="s">
        <v>137</v>
      </c>
      <c r="B16" s="39" t="s">
        <v>263</v>
      </c>
      <c r="C16" s="39" t="s">
        <v>236</v>
      </c>
      <c r="D16" s="39" t="s">
        <v>236</v>
      </c>
      <c r="E16" s="39" t="s">
        <v>236</v>
      </c>
      <c r="F16" s="39" t="s">
        <v>236</v>
      </c>
      <c r="G16" s="39" t="s">
        <v>236</v>
      </c>
      <c r="H16" s="39" t="s">
        <v>234</v>
      </c>
    </row>
    <row r="17" spans="1:8" x14ac:dyDescent="0.25">
      <c r="A17" s="38" t="s">
        <v>154</v>
      </c>
      <c r="B17" s="39" t="s">
        <v>264</v>
      </c>
      <c r="C17" s="39" t="s">
        <v>236</v>
      </c>
      <c r="D17" s="39" t="s">
        <v>236</v>
      </c>
      <c r="E17" s="39" t="s">
        <v>236</v>
      </c>
      <c r="F17" s="39" t="s">
        <v>236</v>
      </c>
      <c r="G17" s="39" t="s">
        <v>236</v>
      </c>
      <c r="H17" s="39" t="s">
        <v>236</v>
      </c>
    </row>
    <row r="18" spans="1:8" x14ac:dyDescent="0.25">
      <c r="A18" s="38" t="s">
        <v>157</v>
      </c>
      <c r="B18" s="39" t="s">
        <v>264</v>
      </c>
      <c r="C18" s="39" t="s">
        <v>236</v>
      </c>
      <c r="D18" s="39" t="s">
        <v>236</v>
      </c>
      <c r="E18" s="39" t="s">
        <v>236</v>
      </c>
      <c r="F18" s="39" t="s">
        <v>236</v>
      </c>
      <c r="G18" s="39" t="s">
        <v>236</v>
      </c>
      <c r="H18" s="39" t="s">
        <v>236</v>
      </c>
    </row>
  </sheetData>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173D-4A41-480C-ADC4-A87D48D3215C}">
  <dimension ref="A1:C23"/>
  <sheetViews>
    <sheetView workbookViewId="0">
      <selection activeCell="B21" sqref="B21"/>
    </sheetView>
  </sheetViews>
  <sheetFormatPr baseColWidth="10" defaultRowHeight="15" x14ac:dyDescent="0.25"/>
  <cols>
    <col min="1" max="1" width="15.7109375" bestFit="1" customWidth="1"/>
    <col min="2" max="2" width="49.140625" customWidth="1"/>
    <col min="3" max="3" width="50.7109375" customWidth="1"/>
  </cols>
  <sheetData>
    <row r="1" spans="1:3" ht="20.25" x14ac:dyDescent="0.25">
      <c r="A1" s="75" t="s">
        <v>265</v>
      </c>
      <c r="B1" s="75"/>
      <c r="C1" s="75"/>
    </row>
    <row r="3" spans="1:3" x14ac:dyDescent="0.25">
      <c r="A3" s="37" t="s">
        <v>68</v>
      </c>
      <c r="B3" s="37" t="s">
        <v>266</v>
      </c>
      <c r="C3" s="37" t="s">
        <v>267</v>
      </c>
    </row>
    <row r="4" spans="1:3" x14ac:dyDescent="0.25">
      <c r="A4" s="38" t="s">
        <v>75</v>
      </c>
      <c r="B4" s="39" t="s">
        <v>268</v>
      </c>
      <c r="C4" s="39" t="s">
        <v>269</v>
      </c>
    </row>
    <row r="5" spans="1:3" x14ac:dyDescent="0.25">
      <c r="A5" s="38" t="s">
        <v>81</v>
      </c>
      <c r="B5" s="39" t="s">
        <v>270</v>
      </c>
      <c r="C5" s="39" t="s">
        <v>271</v>
      </c>
    </row>
    <row r="6" spans="1:3" x14ac:dyDescent="0.25">
      <c r="A6" s="38" t="s">
        <v>85</v>
      </c>
      <c r="B6" s="39" t="s">
        <v>272</v>
      </c>
      <c r="C6" s="39" t="s">
        <v>273</v>
      </c>
    </row>
    <row r="7" spans="1:3" x14ac:dyDescent="0.25">
      <c r="A7" s="38" t="s">
        <v>180</v>
      </c>
      <c r="B7" s="39" t="s">
        <v>274</v>
      </c>
      <c r="C7" s="39" t="s">
        <v>275</v>
      </c>
    </row>
    <row r="8" spans="1:3" x14ac:dyDescent="0.25">
      <c r="A8" s="38" t="s">
        <v>95</v>
      </c>
      <c r="B8" s="39" t="s">
        <v>276</v>
      </c>
      <c r="C8" s="39" t="s">
        <v>277</v>
      </c>
    </row>
    <row r="9" spans="1:3" x14ac:dyDescent="0.25">
      <c r="A9" s="38" t="s">
        <v>101</v>
      </c>
      <c r="B9" s="39" t="s">
        <v>278</v>
      </c>
      <c r="C9" s="39" t="s">
        <v>279</v>
      </c>
    </row>
    <row r="10" spans="1:3" x14ac:dyDescent="0.25">
      <c r="A10" s="38" t="s">
        <v>108</v>
      </c>
      <c r="B10" s="39" t="s">
        <v>280</v>
      </c>
      <c r="C10" s="39" t="s">
        <v>281</v>
      </c>
    </row>
    <row r="11" spans="1:3" x14ac:dyDescent="0.25">
      <c r="A11" s="38" t="s">
        <v>112</v>
      </c>
      <c r="B11" s="39" t="s">
        <v>282</v>
      </c>
      <c r="C11" s="39" t="s">
        <v>283</v>
      </c>
    </row>
    <row r="12" spans="1:3" x14ac:dyDescent="0.25">
      <c r="A12" s="38" t="s">
        <v>117</v>
      </c>
      <c r="B12" s="39" t="s">
        <v>284</v>
      </c>
      <c r="C12" s="39" t="s">
        <v>285</v>
      </c>
    </row>
    <row r="13" spans="1:3" x14ac:dyDescent="0.25">
      <c r="A13" s="38" t="s">
        <v>122</v>
      </c>
      <c r="B13" s="39" t="s">
        <v>286</v>
      </c>
      <c r="C13" s="39" t="s">
        <v>287</v>
      </c>
    </row>
    <row r="14" spans="1:3" x14ac:dyDescent="0.25">
      <c r="A14" s="38" t="s">
        <v>125</v>
      </c>
      <c r="B14" s="39" t="s">
        <v>288</v>
      </c>
      <c r="C14" s="39" t="s">
        <v>289</v>
      </c>
    </row>
    <row r="15" spans="1:3" x14ac:dyDescent="0.25">
      <c r="A15" s="38" t="s">
        <v>130</v>
      </c>
      <c r="B15" s="39" t="s">
        <v>290</v>
      </c>
      <c r="C15" s="39" t="s">
        <v>291</v>
      </c>
    </row>
    <row r="16" spans="1:3" x14ac:dyDescent="0.25">
      <c r="A16" s="38" t="s">
        <v>134</v>
      </c>
      <c r="B16" s="39" t="s">
        <v>292</v>
      </c>
      <c r="C16" s="39" t="s">
        <v>293</v>
      </c>
    </row>
    <row r="17" spans="1:3" x14ac:dyDescent="0.25">
      <c r="A17" s="38" t="s">
        <v>137</v>
      </c>
      <c r="B17" s="39" t="s">
        <v>294</v>
      </c>
      <c r="C17" s="39" t="s">
        <v>295</v>
      </c>
    </row>
    <row r="18" spans="1:3" x14ac:dyDescent="0.25">
      <c r="A18" s="38" t="s">
        <v>145</v>
      </c>
      <c r="B18" s="39" t="s">
        <v>296</v>
      </c>
      <c r="C18" s="39" t="s">
        <v>297</v>
      </c>
    </row>
    <row r="19" spans="1:3" x14ac:dyDescent="0.25">
      <c r="A19" s="38" t="s">
        <v>149</v>
      </c>
      <c r="B19" s="39" t="s">
        <v>298</v>
      </c>
      <c r="C19" s="39" t="s">
        <v>299</v>
      </c>
    </row>
    <row r="20" spans="1:3" x14ac:dyDescent="0.25">
      <c r="A20" s="38" t="s">
        <v>154</v>
      </c>
      <c r="B20" s="39" t="s">
        <v>300</v>
      </c>
      <c r="C20" s="39" t="s">
        <v>236</v>
      </c>
    </row>
    <row r="21" spans="1:3" x14ac:dyDescent="0.25">
      <c r="A21" s="38" t="s">
        <v>157</v>
      </c>
      <c r="B21" s="39" t="s">
        <v>301</v>
      </c>
      <c r="C21" s="39" t="s">
        <v>236</v>
      </c>
    </row>
    <row r="22" spans="1:3" x14ac:dyDescent="0.25">
      <c r="A22" s="38" t="s">
        <v>143</v>
      </c>
      <c r="B22" s="39" t="s">
        <v>302</v>
      </c>
      <c r="C22" s="39" t="s">
        <v>303</v>
      </c>
    </row>
    <row r="23" spans="1:3" x14ac:dyDescent="0.25">
      <c r="A23" s="38" t="s">
        <v>205</v>
      </c>
      <c r="B23" s="39" t="s">
        <v>304</v>
      </c>
      <c r="C23" s="40" t="s">
        <v>305</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416C-D389-4BCA-9A45-C856EACF4B4A}">
  <dimension ref="A2:I9"/>
  <sheetViews>
    <sheetView topLeftCell="A37" workbookViewId="0">
      <selection activeCell="S46" sqref="S46"/>
    </sheetView>
  </sheetViews>
  <sheetFormatPr baseColWidth="10" defaultRowHeight="15" x14ac:dyDescent="0.25"/>
  <cols>
    <col min="1" max="1" width="36.7109375" customWidth="1"/>
    <col min="2" max="2" width="69" customWidth="1"/>
  </cols>
  <sheetData>
    <row r="2" spans="1:9" x14ac:dyDescent="0.25">
      <c r="A2" s="44"/>
      <c r="B2" s="44"/>
    </row>
    <row r="3" spans="1:9" ht="16.5" x14ac:dyDescent="0.25">
      <c r="A3" s="45" t="s">
        <v>306</v>
      </c>
      <c r="B3" s="45" t="s">
        <v>307</v>
      </c>
    </row>
    <row r="4" spans="1:9" ht="19.5" customHeight="1" x14ac:dyDescent="0.25">
      <c r="A4" s="46" t="s">
        <v>308</v>
      </c>
      <c r="B4" s="47" t="s">
        <v>309</v>
      </c>
      <c r="C4" s="43" t="s">
        <v>318</v>
      </c>
      <c r="D4" s="43"/>
      <c r="E4" s="43"/>
      <c r="F4" s="43"/>
      <c r="G4" s="43"/>
      <c r="H4" s="43"/>
      <c r="I4" s="43"/>
    </row>
    <row r="5" spans="1:9" ht="21" customHeight="1" x14ac:dyDescent="0.25">
      <c r="A5" s="46" t="s">
        <v>310</v>
      </c>
      <c r="B5" s="47" t="s">
        <v>311</v>
      </c>
    </row>
    <row r="6" spans="1:9" ht="19.5" customHeight="1" x14ac:dyDescent="0.25">
      <c r="A6" s="46" t="s">
        <v>312</v>
      </c>
      <c r="B6" s="47" t="s">
        <v>313</v>
      </c>
    </row>
    <row r="7" spans="1:9" ht="21" customHeight="1" x14ac:dyDescent="0.25">
      <c r="A7" s="48" t="s">
        <v>314</v>
      </c>
      <c r="B7" s="48" t="s">
        <v>315</v>
      </c>
    </row>
    <row r="8" spans="1:9" ht="26.25" customHeight="1" x14ac:dyDescent="0.25">
      <c r="A8" s="46" t="s">
        <v>316</v>
      </c>
      <c r="B8" s="47" t="s">
        <v>317</v>
      </c>
    </row>
    <row r="9" spans="1:9" x14ac:dyDescent="0.25">
      <c r="A9" s="44"/>
      <c r="B9" s="44"/>
    </row>
  </sheetData>
  <pageMargins left="0.7" right="0.7" top="0.75" bottom="0.75" header="0.3" footer="0.3"/>
  <pageSetup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10C4-625A-4DCD-ACAC-71E2558F8CC7}">
  <dimension ref="A2"/>
  <sheetViews>
    <sheetView topLeftCell="A64" workbookViewId="0">
      <selection activeCell="F104" sqref="F104"/>
    </sheetView>
  </sheetViews>
  <sheetFormatPr baseColWidth="10" defaultRowHeight="15" x14ac:dyDescent="0.25"/>
  <sheetData>
    <row r="2" spans="1:1" ht="18.75" x14ac:dyDescent="0.25">
      <c r="A2" s="49" t="s">
        <v>319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Comparaison versions</vt:lpstr>
      <vt:lpstr>Solo TA</vt:lpstr>
      <vt:lpstr>Compagnie</vt:lpstr>
      <vt:lpstr>Modules</vt:lpstr>
      <vt:lpstr>1.Identite</vt:lpstr>
      <vt:lpstr>2.Encaissement</vt:lpstr>
      <vt:lpstr>3.Paiement_OUT</vt:lpstr>
      <vt:lpstr>4.Workflow_B2B</vt:lpstr>
      <vt:lpstr>5.Tarification</vt:lpstr>
      <vt:lpstr>6.Cas_Usage</vt:lpstr>
      <vt:lpstr>Mes notes Flinks</vt:lpstr>
      <vt:lpstr>Mes notes Stripe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Pierre Girouard</cp:lastModifiedBy>
  <cp:revision>0</cp:revision>
  <dcterms:created xsi:type="dcterms:W3CDTF">2026-04-27T14:00:40Z</dcterms:created>
  <dcterms:modified xsi:type="dcterms:W3CDTF">2026-06-16T10:44:55Z</dcterms:modified>
  <dc:language>en-US</dc:language>
</cp:coreProperties>
</file>